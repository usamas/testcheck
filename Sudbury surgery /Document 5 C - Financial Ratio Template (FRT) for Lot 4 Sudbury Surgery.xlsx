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nwlondon.local\userdata\BHH_MyDocs\hopjor\My Documents\"/>
    </mc:Choice>
  </mc:AlternateContent>
  <xr:revisionPtr revIDLastSave="0" documentId="8_{7DB00E93-3B90-4931-B43C-44F3A9216C70}" xr6:coauthVersionLast="47" xr6:coauthVersionMax="47" xr10:uidLastSave="{00000000-0000-0000-0000-000000000000}"/>
  <bookViews>
    <workbookView xWindow="-57720" yWindow="-120" windowWidth="29040" windowHeight="15720" xr2:uid="{00000000-000D-0000-FFFF-FFFF00000000}"/>
  </bookViews>
  <sheets>
    <sheet name="Instructions+Scoring Criteria" sheetId="6" r:id="rId1"/>
    <sheet name="For BIDDER COMPLETION" sheetId="7" r:id="rId2"/>
    <sheet name="Calculated AGV Ratio" sheetId="9" r:id="rId3"/>
  </sheets>
  <definedNames>
    <definedName name="_xlnm.Print_Area" localSheetId="1">'For BIDDER COMPLETION'!$A$1:$D$60</definedName>
    <definedName name="_xlnm.Print_Area" localSheetId="0">'Instructions+Scoring Criteria'!$A$12:$D$19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 i="9" l="1"/>
  <c r="B15" i="9"/>
  <c r="B16" i="9" s="1"/>
  <c r="A12" i="9"/>
  <c r="B8" i="9"/>
  <c r="B6" i="9"/>
  <c r="B7" i="9" s="1"/>
  <c r="A3" i="9"/>
  <c r="B52" i="7"/>
  <c r="C52" i="7" s="1"/>
  <c r="B51" i="7"/>
  <c r="C51" i="7" s="1"/>
  <c r="B49" i="7"/>
  <c r="C49" i="7" s="1"/>
  <c r="B47" i="7"/>
  <c r="C47" i="7" s="1"/>
  <c r="B46" i="7"/>
  <c r="C46" i="7" s="1"/>
  <c r="B26" i="7"/>
  <c r="C26" i="7" s="1"/>
  <c r="B25" i="7"/>
  <c r="C25" i="7" s="1"/>
  <c r="B23" i="7"/>
  <c r="C23" i="7" s="1"/>
  <c r="B21" i="7"/>
  <c r="C21" i="7" s="1"/>
  <c r="B20" i="7"/>
  <c r="C20" i="7" s="1"/>
  <c r="B9" i="9" l="1"/>
  <c r="B10" i="9" s="1"/>
  <c r="C28" i="7" s="1"/>
  <c r="B18" i="9"/>
  <c r="B54" i="7"/>
  <c r="B19" i="9"/>
  <c r="C54" i="7" s="1"/>
  <c r="B28" i="7" l="1"/>
</calcChain>
</file>

<file path=xl/sharedStrings.xml><?xml version="1.0" encoding="utf-8"?>
<sst xmlns="http://schemas.openxmlformats.org/spreadsheetml/2006/main" count="128" uniqueCount="79">
  <si>
    <t>(2) Financial Ratio Template</t>
  </si>
  <si>
    <t>INSTRUCTIONS</t>
  </si>
  <si>
    <t>Each Bidder and Bidder Member must complete a separate Financial Ratio template for submission along with their completed Selection Questionnaire.</t>
  </si>
  <si>
    <t>Bidders / Bidder Members are to input information within the YELLOW coloured cells on the next worksheet tab entitled "for Bidder Completion"</t>
  </si>
  <si>
    <t>Colour Guide to Cells and tabs</t>
  </si>
  <si>
    <t>Cells to be completed by Bidder/Bidder Member</t>
  </si>
  <si>
    <t>Contracting Authority formula or calculation using information input by the Bidder/Bidder Member</t>
  </si>
  <si>
    <t xml:space="preserve"> </t>
  </si>
  <si>
    <t>Headings only, no inputs required or calculations made</t>
  </si>
  <si>
    <t>NOTES</t>
  </si>
  <si>
    <t>a)</t>
  </si>
  <si>
    <t xml:space="preserve">The Contracting Authority will evaluate the latest set of financial statements and only refer to the previous years’ information where the lead bidder or a bidder member scores two zeros against the latest year, in order to make a balanced assessment of the potential financial risk associated with the bidder. </t>
  </si>
  <si>
    <t>b)</t>
  </si>
  <si>
    <t xml:space="preserve">The information from the financial statements will be used to perform the ratios on the attached template. Each of the ratio calculations will be scored using a scale of 0 to 1, in accordance with the Scoring Matrix shown in the attached sheet.
</t>
  </si>
  <si>
    <t>c)</t>
  </si>
  <si>
    <r>
      <t xml:space="preserve">Bidders/Bidder Members will pass subject to achieving no more than </t>
    </r>
    <r>
      <rPr>
        <b/>
        <u/>
        <sz val="12"/>
        <color indexed="8"/>
        <rFont val="Arial"/>
        <family val="2"/>
      </rPr>
      <t xml:space="preserve">one </t>
    </r>
    <r>
      <rPr>
        <sz val="12"/>
        <color indexed="8"/>
        <rFont val="Arial"/>
        <family val="2"/>
      </rPr>
      <t>score of 0 across the measures used.  The Scoring Criteria is outlined below.</t>
    </r>
  </si>
  <si>
    <t>d)</t>
  </si>
  <si>
    <r>
      <t xml:space="preserve">A Bidder/Bidder Member with </t>
    </r>
    <r>
      <rPr>
        <b/>
        <u/>
        <sz val="12"/>
        <color indexed="8"/>
        <rFont val="Arial"/>
        <family val="2"/>
      </rPr>
      <t xml:space="preserve">two or more </t>
    </r>
    <r>
      <rPr>
        <sz val="12"/>
        <color indexed="8"/>
        <rFont val="Arial"/>
        <family val="2"/>
      </rPr>
      <t xml:space="preserve">scores of 0 across the measures used to assess the financial statements based on the latest set of financial statements may fail. The Contracting Authority will then also evaluate the previous years’ information in order to make a balanced assessment of the potential financial risk associated with the bidder. </t>
    </r>
  </si>
  <si>
    <t>e)</t>
  </si>
  <si>
    <t>Credit reports of Bidders/Bidder Members (and their Parent Company if applicable) may be obtained and reviewed, if necessary, to support the financial risk assessment in this part of the evaluation. This will only be considered as secondary to the Assessment of the Financial Statements.</t>
  </si>
  <si>
    <t>f)</t>
  </si>
  <si>
    <t>g)</t>
  </si>
  <si>
    <t>Bidders/Bidder Members are required to complete this information accurately and in accordance with copy accounts documentation provided.</t>
  </si>
  <si>
    <t>SCORING CRITERIA</t>
  </si>
  <si>
    <t>Ratio / Measure</t>
  </si>
  <si>
    <t>Score</t>
  </si>
  <si>
    <t>Current Ratio</t>
  </si>
  <si>
    <t>Net Assets</t>
  </si>
  <si>
    <t>Capital Gearing</t>
  </si>
  <si>
    <t>ROCE</t>
  </si>
  <si>
    <t>Annual Guidance Value Ratio</t>
  </si>
  <si>
    <t>Net Profit Margin</t>
  </si>
  <si>
    <t>&gt; = 0.8:1</t>
  </si>
  <si>
    <t>&gt; = £0m</t>
  </si>
  <si>
    <t>&lt; = 100%</t>
  </si>
  <si>
    <t>&gt; = 0%</t>
  </si>
  <si>
    <t>&lt; 0.8:1</t>
  </si>
  <si>
    <t>&lt; £0m</t>
  </si>
  <si>
    <t>&lt; 0% or &gt; 100%</t>
  </si>
  <si>
    <t>&lt; 0%</t>
  </si>
  <si>
    <t>&gt; 100%</t>
  </si>
  <si>
    <t>Financial Ratio Template</t>
  </si>
  <si>
    <t>Insert Bidder/Bidder Member Name:</t>
  </si>
  <si>
    <r>
      <t xml:space="preserve">Complete the YELLOW cells within the following table for the </t>
    </r>
    <r>
      <rPr>
        <b/>
        <sz val="12"/>
        <color indexed="10"/>
        <rFont val="Arial"/>
        <family val="2"/>
      </rPr>
      <t>MOST RECENT TWO YEARS</t>
    </r>
    <r>
      <rPr>
        <b/>
        <sz val="12"/>
        <rFont val="Arial"/>
        <family val="2"/>
      </rPr>
      <t>, indicating which years these apply to in cell A5 and A31</t>
    </r>
  </si>
  <si>
    <t xml:space="preserve">INSERT WHICH FINANCIAL YEAR(S) THE DATA RELATES TO </t>
  </si>
  <si>
    <t>Bidders Response</t>
  </si>
  <si>
    <t>Workings Out / Notes on figures provided (not mandatory, but where considered helpful)</t>
  </si>
  <si>
    <t>Profit &amp; Loss</t>
  </si>
  <si>
    <t>Turnover</t>
  </si>
  <si>
    <t>Operating Profit</t>
  </si>
  <si>
    <t>Net Profit / (loss) (before taxation)</t>
  </si>
  <si>
    <t>Balance Sheet</t>
  </si>
  <si>
    <t xml:space="preserve">Current Assets </t>
  </si>
  <si>
    <t>Current Liabilities</t>
  </si>
  <si>
    <t>Long Term Liabilities</t>
  </si>
  <si>
    <t>Equity Shareholders' Funds</t>
  </si>
  <si>
    <t>Share of Contract Value expected by Bidder / Bidder Member</t>
  </si>
  <si>
    <t>Percentage of the Total Contract value that the Bidder/Bidder Member is expected to be responsible for?</t>
  </si>
  <si>
    <t>RATIOS</t>
  </si>
  <si>
    <t>Ratio Calculation</t>
  </si>
  <si>
    <t>Liquidity</t>
  </si>
  <si>
    <t>Current Assets (inc. Stock) divided by Current Liabilities</t>
  </si>
  <si>
    <t>Current Assets less Current Liabilities</t>
  </si>
  <si>
    <t xml:space="preserve">Debt </t>
  </si>
  <si>
    <t>Long Term Liabilities divided by Shareholders Funds expressed as a percentage</t>
  </si>
  <si>
    <t>Profitability</t>
  </si>
  <si>
    <t>Operating Profit divided by (Shareholders Funds plus Long Term Liabilities) expressed as a percentage</t>
  </si>
  <si>
    <t>Net Profit before Taxation divided by Turnover expressed as a percentage</t>
  </si>
  <si>
    <t>Contract Guidance Value</t>
  </si>
  <si>
    <t>Calculated Annual Guidance Value Ratio (see next worksheet), expressed as a percentage.</t>
  </si>
  <si>
    <t>Complete the YELLOW cells, indicating which financial years this information relates to by completing cell A31</t>
  </si>
  <si>
    <t>Calculated Annual Guidance Value Ratio</t>
  </si>
  <si>
    <t>ANNUAL GUIDANCE VALUE RATIO</t>
  </si>
  <si>
    <t>Annual Guidance Value Ratio Figure</t>
  </si>
  <si>
    <t>Calculated Value of the Contract that the Bidder will be responsible for:</t>
  </si>
  <si>
    <t>Bidder Turnover</t>
  </si>
  <si>
    <t>Calculated Annual Guidance Value Ratio, expressed as a percentage</t>
  </si>
  <si>
    <t>SCORE</t>
  </si>
  <si>
    <r>
      <t xml:space="preserve">Contract Guidance Value:  For the purposes of this calculation a guideline value of </t>
    </r>
    <r>
      <rPr>
        <sz val="12"/>
        <color indexed="10"/>
        <rFont val="Arial"/>
        <family val="2"/>
      </rPr>
      <t xml:space="preserve">£7,738,000 </t>
    </r>
    <r>
      <rPr>
        <sz val="12"/>
        <rFont val="Arial"/>
        <family val="2"/>
      </rPr>
      <t xml:space="preserve">will be used. This will then be divided by the Annual Turnover of the Bidder/Bidder Member and expressed as a percentage.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</si>
</sst>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quot;£&quot;* #,##0_-;\-&quot;£&quot;* #,##0_-;_-&quot;£&quot;* &quot;-&quot;??_-;_-@_-"/>
    <numFmt numFmtId="165" formatCode="0.0%"/>
  </numFmts>
  <fonts count="30" x14ac:knownFonts="1">
    <font>
      <sz val="11"/>
      <color theme="1"/>
      <name val="Calibri"/>
      <family val="2"/>
      <scheme val="minor"/>
    </font>
    <font>
      <sz val="10"/>
      <name val="Arial"/>
      <family val="2"/>
    </font>
    <font>
      <sz val="10"/>
      <name val="Arial"/>
      <family val="2"/>
    </font>
    <font>
      <b/>
      <sz val="11"/>
      <color indexed="9"/>
      <name val="Calibri"/>
      <family val="2"/>
    </font>
    <font>
      <sz val="8"/>
      <name val="Calibri"/>
      <family val="2"/>
    </font>
    <font>
      <sz val="12"/>
      <name val="Arial"/>
      <family val="2"/>
    </font>
    <font>
      <sz val="12"/>
      <color indexed="8"/>
      <name val="Arial"/>
      <family val="2"/>
    </font>
    <font>
      <b/>
      <u/>
      <sz val="12"/>
      <color indexed="8"/>
      <name val="Arial"/>
      <family val="2"/>
    </font>
    <font>
      <b/>
      <sz val="12"/>
      <color indexed="10"/>
      <name val="Arial"/>
      <family val="2"/>
    </font>
    <font>
      <b/>
      <sz val="10"/>
      <name val="Arial"/>
      <family val="2"/>
    </font>
    <font>
      <b/>
      <sz val="12"/>
      <name val="Arial"/>
      <family val="2"/>
    </font>
    <font>
      <b/>
      <sz val="14"/>
      <name val="Arial"/>
      <family val="2"/>
    </font>
    <font>
      <sz val="10"/>
      <color indexed="8"/>
      <name val="Arial"/>
      <family val="2"/>
    </font>
    <font>
      <b/>
      <sz val="10"/>
      <color indexed="10"/>
      <name val="Arial"/>
      <family val="2"/>
    </font>
    <font>
      <b/>
      <sz val="10"/>
      <color indexed="9"/>
      <name val="Arial"/>
      <family val="2"/>
    </font>
    <font>
      <b/>
      <sz val="9"/>
      <color indexed="10"/>
      <name val="Arial"/>
      <family val="2"/>
    </font>
    <font>
      <sz val="9"/>
      <color indexed="8"/>
      <name val="Arial"/>
      <family val="2"/>
    </font>
    <font>
      <b/>
      <u/>
      <sz val="14"/>
      <name val="Arial"/>
      <family val="2"/>
    </font>
    <font>
      <b/>
      <sz val="12"/>
      <color indexed="9"/>
      <name val="Arial"/>
      <family val="2"/>
    </font>
    <font>
      <sz val="12"/>
      <color indexed="10"/>
      <name val="Arial"/>
      <family val="2"/>
    </font>
    <font>
      <sz val="11"/>
      <color theme="1"/>
      <name val="Calibri"/>
      <family val="2"/>
      <scheme val="minor"/>
    </font>
    <font>
      <sz val="11"/>
      <color theme="1"/>
      <name val="Arial"/>
      <family val="2"/>
    </font>
    <font>
      <sz val="10"/>
      <color theme="1"/>
      <name val="Arial"/>
      <family val="2"/>
    </font>
    <font>
      <b/>
      <sz val="10"/>
      <color rgb="FFFF0000"/>
      <name val="Arial"/>
      <family val="2"/>
    </font>
    <font>
      <b/>
      <sz val="12"/>
      <color theme="1"/>
      <name val="Arial"/>
      <family val="2"/>
    </font>
    <font>
      <sz val="12"/>
      <color rgb="FFFF0000"/>
      <name val="Arial"/>
      <family val="2"/>
    </font>
    <font>
      <sz val="12"/>
      <color theme="1"/>
      <name val="Arial"/>
      <family val="2"/>
    </font>
    <font>
      <b/>
      <u/>
      <sz val="14"/>
      <color rgb="FFFF0000"/>
      <name val="Arial"/>
      <family val="2"/>
    </font>
    <font>
      <b/>
      <sz val="12"/>
      <color rgb="FFFF0000"/>
      <name val="Arial"/>
      <family val="2"/>
    </font>
    <font>
      <b/>
      <u/>
      <sz val="10"/>
      <color theme="0"/>
      <name val="Arial"/>
      <family val="2"/>
    </font>
  </fonts>
  <fills count="11">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indexed="9"/>
        <bgColor indexed="64"/>
      </patternFill>
    </fill>
    <fill>
      <patternFill patternType="solid">
        <fgColor indexed="62"/>
        <bgColor indexed="64"/>
      </patternFill>
    </fill>
    <fill>
      <patternFill patternType="solid">
        <fgColor indexed="44"/>
        <bgColor indexed="64"/>
      </patternFill>
    </fill>
    <fill>
      <patternFill patternType="solid">
        <fgColor theme="0"/>
        <bgColor indexed="64"/>
      </patternFill>
    </fill>
    <fill>
      <patternFill patternType="solid">
        <fgColor rgb="FFCCFFCC"/>
        <bgColor indexed="64"/>
      </patternFill>
    </fill>
    <fill>
      <patternFill patternType="solid">
        <fgColor theme="4"/>
        <bgColor indexed="64"/>
      </patternFill>
    </fill>
    <fill>
      <patternFill patternType="solid">
        <fgColor rgb="FFFFFF99"/>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s>
  <cellStyleXfs count="8">
    <xf numFmtId="0" fontId="0" fillId="0" borderId="0"/>
    <xf numFmtId="43" fontId="20"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0" fontId="1" fillId="0" borderId="0"/>
    <xf numFmtId="0" fontId="2" fillId="0" borderId="0"/>
    <xf numFmtId="9" fontId="1" fillId="0" borderId="0" applyFont="0" applyFill="0" applyBorder="0" applyAlignment="0" applyProtection="0"/>
    <xf numFmtId="9" fontId="2" fillId="0" borderId="0" applyFont="0" applyFill="0" applyBorder="0" applyAlignment="0" applyProtection="0"/>
  </cellStyleXfs>
  <cellXfs count="87">
    <xf numFmtId="0" fontId="0" fillId="0" borderId="0" xfId="0"/>
    <xf numFmtId="0" fontId="5" fillId="0" borderId="0" xfId="4" applyFont="1"/>
    <xf numFmtId="0" fontId="5" fillId="0" borderId="0" xfId="4" applyFont="1" applyAlignment="1">
      <alignment vertical="top"/>
    </xf>
    <xf numFmtId="0" fontId="5" fillId="0" borderId="0" xfId="4" applyFont="1" applyAlignment="1">
      <alignment vertical="top" wrapText="1"/>
    </xf>
    <xf numFmtId="0" fontId="5" fillId="2" borderId="1" xfId="0" applyFont="1" applyFill="1" applyBorder="1" applyAlignment="1">
      <alignment horizontal="center" vertical="center"/>
    </xf>
    <xf numFmtId="0" fontId="5" fillId="3" borderId="1" xfId="0" applyFont="1" applyFill="1" applyBorder="1" applyAlignment="1">
      <alignment horizontal="center" vertical="center"/>
    </xf>
    <xf numFmtId="0" fontId="10" fillId="0" borderId="0" xfId="4" applyFont="1"/>
    <xf numFmtId="0" fontId="5" fillId="0" borderId="0" xfId="4" applyFont="1" applyAlignment="1">
      <alignment horizontal="left" vertical="top"/>
    </xf>
    <xf numFmtId="0" fontId="7" fillId="0" borderId="0" xfId="0" applyFont="1" applyAlignment="1">
      <alignment vertical="top"/>
    </xf>
    <xf numFmtId="0" fontId="6" fillId="0" borderId="0" xfId="0" applyFont="1" applyAlignment="1">
      <alignment vertical="top" wrapText="1"/>
    </xf>
    <xf numFmtId="0" fontId="5" fillId="0" borderId="0" xfId="0" applyFont="1" applyAlignment="1">
      <alignment horizontal="left" vertical="center"/>
    </xf>
    <xf numFmtId="0" fontId="5" fillId="0" borderId="0" xfId="4" applyFont="1" applyAlignment="1">
      <alignment horizontal="center"/>
    </xf>
    <xf numFmtId="1" fontId="10" fillId="4" borderId="0" xfId="4" applyNumberFormat="1" applyFont="1" applyFill="1" applyAlignment="1">
      <alignment horizontal="center"/>
    </xf>
    <xf numFmtId="0" fontId="5" fillId="0" borderId="0" xfId="4" applyFont="1" applyAlignment="1">
      <alignment horizontal="left" wrapText="1"/>
    </xf>
    <xf numFmtId="0" fontId="1" fillId="0" borderId="0" xfId="5" applyFont="1" applyAlignment="1">
      <alignment vertical="center"/>
    </xf>
    <xf numFmtId="0" fontId="9" fillId="0" borderId="0" xfId="5" applyFont="1" applyAlignment="1">
      <alignment vertical="center"/>
    </xf>
    <xf numFmtId="0" fontId="1" fillId="0" borderId="2" xfId="4" applyBorder="1" applyAlignment="1">
      <alignment horizontal="left" vertical="center" wrapText="1"/>
    </xf>
    <xf numFmtId="0" fontId="12" fillId="0" borderId="3" xfId="0" applyFont="1" applyBorder="1" applyAlignment="1">
      <alignment horizontal="left" vertical="center" wrapText="1"/>
    </xf>
    <xf numFmtId="0" fontId="1" fillId="0" borderId="0" xfId="5" applyFont="1" applyAlignment="1">
      <alignment horizontal="left" vertical="center"/>
    </xf>
    <xf numFmtId="0" fontId="9" fillId="0" borderId="0" xfId="5" applyFont="1" applyAlignment="1">
      <alignment horizontal="left" vertical="center"/>
    </xf>
    <xf numFmtId="0" fontId="9" fillId="0" borderId="0" xfId="5" applyFont="1" applyAlignment="1">
      <alignment horizontal="left" vertical="center" wrapText="1"/>
    </xf>
    <xf numFmtId="0" fontId="21" fillId="0" borderId="0" xfId="0" applyFont="1"/>
    <xf numFmtId="0" fontId="14" fillId="5" borderId="1" xfId="0" applyFont="1" applyFill="1" applyBorder="1" applyAlignment="1">
      <alignment horizontal="left" wrapText="1"/>
    </xf>
    <xf numFmtId="0" fontId="14" fillId="5" borderId="1" xfId="0" applyFont="1" applyFill="1" applyBorder="1" applyAlignment="1">
      <alignment horizontal="center" wrapText="1"/>
    </xf>
    <xf numFmtId="0" fontId="22" fillId="0" borderId="0" xfId="0" applyFont="1"/>
    <xf numFmtId="0" fontId="22" fillId="0" borderId="1" xfId="0" applyFont="1" applyBorder="1" applyAlignment="1">
      <alignment wrapText="1"/>
    </xf>
    <xf numFmtId="0" fontId="22" fillId="7" borderId="0" xfId="0" applyFont="1" applyFill="1"/>
    <xf numFmtId="0" fontId="15" fillId="0" borderId="0" xfId="0" applyFont="1" applyAlignment="1">
      <alignment horizontal="center"/>
    </xf>
    <xf numFmtId="0" fontId="16" fillId="0" borderId="0" xfId="0" applyFont="1" applyAlignment="1">
      <alignment horizontal="center"/>
    </xf>
    <xf numFmtId="0" fontId="9" fillId="0" borderId="0" xfId="5" applyFont="1" applyAlignment="1">
      <alignment horizontal="center" vertical="center"/>
    </xf>
    <xf numFmtId="164" fontId="1" fillId="2" borderId="1" xfId="0" applyNumberFormat="1" applyFont="1" applyFill="1" applyBorder="1" applyAlignment="1" applyProtection="1">
      <alignment horizontal="center" vertical="center"/>
      <protection locked="0"/>
    </xf>
    <xf numFmtId="10" fontId="1" fillId="8" borderId="1" xfId="0" applyNumberFormat="1" applyFont="1" applyFill="1" applyBorder="1" applyAlignment="1" applyProtection="1">
      <alignment horizontal="right" vertical="center"/>
      <protection locked="0"/>
    </xf>
    <xf numFmtId="164" fontId="22" fillId="8" borderId="1" xfId="1" applyNumberFormat="1" applyFont="1" applyFill="1" applyBorder="1" applyAlignment="1" applyProtection="1">
      <alignment horizontal="center"/>
    </xf>
    <xf numFmtId="164" fontId="1" fillId="8" borderId="1" xfId="0" applyNumberFormat="1" applyFont="1" applyFill="1" applyBorder="1" applyAlignment="1" applyProtection="1">
      <alignment horizontal="center" vertical="center"/>
      <protection locked="0"/>
    </xf>
    <xf numFmtId="165" fontId="22" fillId="8" borderId="1" xfId="1" applyNumberFormat="1" applyFont="1" applyFill="1" applyBorder="1" applyAlignment="1" applyProtection="1">
      <alignment horizontal="right"/>
    </xf>
    <xf numFmtId="0" fontId="14" fillId="5" borderId="1" xfId="0" applyFont="1" applyFill="1" applyBorder="1" applyAlignment="1">
      <alignment horizontal="right" wrapText="1"/>
    </xf>
    <xf numFmtId="2" fontId="9" fillId="3" borderId="1" xfId="0" applyNumberFormat="1" applyFont="1" applyFill="1" applyBorder="1" applyAlignment="1">
      <alignment horizontal="right" vertical="center"/>
    </xf>
    <xf numFmtId="164" fontId="9" fillId="3" borderId="1" xfId="0" applyNumberFormat="1" applyFont="1" applyFill="1" applyBorder="1" applyAlignment="1">
      <alignment horizontal="right" vertical="center"/>
    </xf>
    <xf numFmtId="165" fontId="9" fillId="3" borderId="1" xfId="0" applyNumberFormat="1" applyFont="1" applyFill="1" applyBorder="1" applyAlignment="1">
      <alignment horizontal="right" vertical="center"/>
    </xf>
    <xf numFmtId="0" fontId="23" fillId="0" borderId="1" xfId="5" applyFont="1" applyBorder="1" applyAlignment="1">
      <alignment horizontal="left" vertical="center" wrapText="1"/>
    </xf>
    <xf numFmtId="0" fontId="23" fillId="0" borderId="1" xfId="0" applyFont="1" applyBorder="1" applyAlignment="1">
      <alignment wrapText="1"/>
    </xf>
    <xf numFmtId="165" fontId="1" fillId="2" borderId="1" xfId="0" applyNumberFormat="1" applyFont="1" applyFill="1" applyBorder="1" applyAlignment="1" applyProtection="1">
      <alignment horizontal="right" vertical="center"/>
      <protection locked="0"/>
    </xf>
    <xf numFmtId="0" fontId="1" fillId="0" borderId="0" xfId="4" applyAlignment="1">
      <alignment horizontal="left" vertical="center" wrapText="1"/>
    </xf>
    <xf numFmtId="0" fontId="12" fillId="0" borderId="0" xfId="0" applyFont="1" applyAlignment="1">
      <alignment horizontal="left" vertical="center" wrapText="1"/>
    </xf>
    <xf numFmtId="0" fontId="24" fillId="0" borderId="0" xfId="0" applyFont="1"/>
    <xf numFmtId="0" fontId="25" fillId="0" borderId="0" xfId="0" applyFont="1" applyAlignment="1">
      <alignment horizontal="left" vertical="center"/>
    </xf>
    <xf numFmtId="0" fontId="14" fillId="9" borderId="1" xfId="4" applyFont="1" applyFill="1" applyBorder="1" applyAlignment="1">
      <alignment horizontal="left" vertical="center" wrapText="1"/>
    </xf>
    <xf numFmtId="0" fontId="14" fillId="9" borderId="1" xfId="4" applyFont="1" applyFill="1" applyBorder="1" applyAlignment="1">
      <alignment horizontal="center" vertical="center" wrapText="1"/>
    </xf>
    <xf numFmtId="0" fontId="3" fillId="9" borderId="1" xfId="4" applyFont="1" applyFill="1" applyBorder="1" applyAlignment="1">
      <alignment horizontal="left" vertical="center" wrapText="1"/>
    </xf>
    <xf numFmtId="0" fontId="13" fillId="0" borderId="0" xfId="5" applyFont="1" applyAlignment="1">
      <alignment horizontal="right" vertical="center"/>
    </xf>
    <xf numFmtId="0" fontId="10" fillId="0" borderId="0" xfId="5" applyFont="1" applyAlignment="1">
      <alignment horizontal="left" vertical="center"/>
    </xf>
    <xf numFmtId="0" fontId="17" fillId="0" borderId="0" xfId="4" applyFont="1"/>
    <xf numFmtId="0" fontId="5" fillId="0" borderId="0" xfId="4" applyFont="1" applyAlignment="1">
      <alignment horizontal="center" vertical="center"/>
    </xf>
    <xf numFmtId="0" fontId="18" fillId="9" borderId="1" xfId="0" applyFont="1" applyFill="1" applyBorder="1" applyAlignment="1">
      <alignment horizontal="center" vertical="center"/>
    </xf>
    <xf numFmtId="0" fontId="18" fillId="9" borderId="1" xfId="0" applyFont="1" applyFill="1" applyBorder="1" applyAlignment="1">
      <alignment horizontal="center" vertical="center" wrapText="1"/>
    </xf>
    <xf numFmtId="0" fontId="8" fillId="0" borderId="1" xfId="0" applyFon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26" fillId="0" borderId="1" xfId="0" applyFont="1" applyBorder="1" applyAlignment="1">
      <alignment horizontal="center" vertical="center"/>
    </xf>
    <xf numFmtId="164" fontId="23" fillId="6" borderId="1" xfId="1" applyNumberFormat="1" applyFont="1" applyFill="1" applyBorder="1" applyAlignment="1" applyProtection="1">
      <alignment horizontal="left" vertical="center" wrapText="1"/>
    </xf>
    <xf numFmtId="0" fontId="27" fillId="0" borderId="0" xfId="4" applyFont="1" applyAlignment="1">
      <alignment vertical="top"/>
    </xf>
    <xf numFmtId="0" fontId="9" fillId="3" borderId="1" xfId="0" applyFont="1" applyFill="1" applyBorder="1" applyAlignment="1">
      <alignment horizontal="center" vertical="center"/>
    </xf>
    <xf numFmtId="1" fontId="9" fillId="3" borderId="1" xfId="0" applyNumberFormat="1" applyFont="1" applyFill="1" applyBorder="1" applyAlignment="1">
      <alignment horizontal="center" vertical="center"/>
    </xf>
    <xf numFmtId="164" fontId="23" fillId="2" borderId="1" xfId="0" applyNumberFormat="1" applyFont="1" applyFill="1" applyBorder="1" applyAlignment="1" applyProtection="1">
      <alignment horizontal="center" vertical="center" wrapText="1"/>
      <protection locked="0"/>
    </xf>
    <xf numFmtId="0" fontId="25" fillId="0" borderId="0" xfId="4" applyFont="1" applyAlignment="1">
      <alignment horizontal="left" vertical="top" wrapText="1"/>
    </xf>
    <xf numFmtId="0" fontId="25" fillId="0" borderId="0" xfId="0" applyFont="1" applyAlignment="1">
      <alignment horizontal="left" vertical="top" wrapText="1"/>
    </xf>
    <xf numFmtId="0" fontId="6" fillId="0" borderId="0" xfId="0" applyFont="1" applyAlignment="1">
      <alignment horizontal="left" vertical="top" wrapText="1"/>
    </xf>
    <xf numFmtId="0" fontId="17" fillId="0" borderId="0" xfId="4" applyFont="1" applyAlignment="1">
      <alignment horizontal="left" vertical="top"/>
    </xf>
    <xf numFmtId="0" fontId="5" fillId="0" borderId="0" xfId="4" applyFont="1" applyAlignment="1">
      <alignment horizontal="left" vertical="top" wrapText="1"/>
    </xf>
    <xf numFmtId="0" fontId="18" fillId="9" borderId="4" xfId="0" applyFont="1" applyFill="1" applyBorder="1" applyAlignment="1">
      <alignment horizontal="center" vertical="center"/>
    </xf>
    <xf numFmtId="0" fontId="18" fillId="9" borderId="5" xfId="0" applyFont="1" applyFill="1" applyBorder="1" applyAlignment="1">
      <alignment horizontal="center" vertical="center"/>
    </xf>
    <xf numFmtId="0" fontId="18" fillId="9" borderId="6" xfId="0" applyFont="1" applyFill="1" applyBorder="1" applyAlignment="1">
      <alignment horizontal="center" vertical="center"/>
    </xf>
    <xf numFmtId="0" fontId="11" fillId="0" borderId="0" xfId="5" applyFont="1" applyAlignment="1">
      <alignment horizontal="center" vertical="center"/>
    </xf>
    <xf numFmtId="0" fontId="28" fillId="10" borderId="4" xfId="5" applyFont="1" applyFill="1" applyBorder="1" applyAlignment="1" applyProtection="1">
      <alignment horizontal="center" vertical="center"/>
      <protection locked="0"/>
    </xf>
    <xf numFmtId="0" fontId="28" fillId="10" borderId="5" xfId="5" applyFont="1" applyFill="1" applyBorder="1" applyAlignment="1" applyProtection="1">
      <alignment horizontal="center" vertical="center"/>
      <protection locked="0"/>
    </xf>
    <xf numFmtId="0" fontId="28" fillId="10" borderId="6" xfId="5" applyFont="1" applyFill="1" applyBorder="1" applyAlignment="1" applyProtection="1">
      <alignment horizontal="center" vertical="center"/>
      <protection locked="0"/>
    </xf>
    <xf numFmtId="0" fontId="29" fillId="9" borderId="7" xfId="5" applyFont="1" applyFill="1" applyBorder="1" applyAlignment="1">
      <alignment horizontal="left" vertical="center"/>
    </xf>
    <xf numFmtId="0" fontId="29" fillId="9" borderId="5" xfId="5" applyFont="1" applyFill="1" applyBorder="1" applyAlignment="1">
      <alignment horizontal="left" vertical="center"/>
    </xf>
    <xf numFmtId="0" fontId="29" fillId="9" borderId="6" xfId="5" applyFont="1" applyFill="1" applyBorder="1" applyAlignment="1">
      <alignment horizontal="left" vertical="center"/>
    </xf>
    <xf numFmtId="0" fontId="29" fillId="9" borderId="4" xfId="5" applyFont="1" applyFill="1" applyBorder="1" applyAlignment="1">
      <alignment horizontal="left" vertical="center"/>
    </xf>
    <xf numFmtId="0" fontId="14" fillId="9" borderId="4" xfId="4" applyFont="1" applyFill="1" applyBorder="1" applyAlignment="1">
      <alignment horizontal="left" vertical="center" wrapText="1"/>
    </xf>
    <xf numFmtId="0" fontId="14" fillId="9" borderId="6" xfId="4" applyFont="1" applyFill="1" applyBorder="1" applyAlignment="1">
      <alignment horizontal="left" vertical="center" wrapText="1"/>
    </xf>
    <xf numFmtId="0" fontId="9" fillId="10" borderId="4" xfId="5" applyFont="1" applyFill="1" applyBorder="1" applyAlignment="1" applyProtection="1">
      <alignment horizontal="center" vertical="center" wrapText="1"/>
      <protection locked="0"/>
    </xf>
    <xf numFmtId="0" fontId="9" fillId="10" borderId="6" xfId="5" applyFont="1" applyFill="1" applyBorder="1" applyAlignment="1" applyProtection="1">
      <alignment horizontal="center" vertical="center" wrapText="1"/>
      <protection locked="0"/>
    </xf>
    <xf numFmtId="0" fontId="29" fillId="9" borderId="8" xfId="5" applyFont="1" applyFill="1" applyBorder="1" applyAlignment="1">
      <alignment horizontal="left" vertical="center"/>
    </xf>
    <xf numFmtId="0" fontId="9" fillId="0" borderId="4" xfId="0" applyFont="1" applyBorder="1" applyAlignment="1">
      <alignment horizontal="left" wrapText="1"/>
    </xf>
    <xf numFmtId="0" fontId="9" fillId="0" borderId="6" xfId="0" applyFont="1" applyBorder="1" applyAlignment="1">
      <alignment horizontal="left" wrapText="1"/>
    </xf>
  </cellXfs>
  <cellStyles count="8">
    <cellStyle name="Comma" xfId="1" builtinId="3"/>
    <cellStyle name="Comma 2" xfId="2" xr:uid="{00000000-0005-0000-0000-000001000000}"/>
    <cellStyle name="Comma 3" xfId="3" xr:uid="{00000000-0005-0000-0000-000002000000}"/>
    <cellStyle name="Normal" xfId="0" builtinId="0"/>
    <cellStyle name="Normal 2" xfId="4" xr:uid="{00000000-0005-0000-0000-000004000000}"/>
    <cellStyle name="Normal 3" xfId="5" xr:uid="{00000000-0005-0000-0000-000005000000}"/>
    <cellStyle name="Percent 2" xfId="6" xr:uid="{00000000-0005-0000-0000-000006000000}"/>
    <cellStyle name="Percent 3" xfId="7" xr:uid="{00000000-0005-0000-0000-000007000000}"/>
  </cellStyles>
  <dxfs count="3">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H127"/>
  <sheetViews>
    <sheetView showGridLines="0" tabSelected="1" zoomScale="70" zoomScaleNormal="70" zoomScaleSheetLayoutView="100" workbookViewId="0">
      <selection activeCell="J18" sqref="J18"/>
    </sheetView>
  </sheetViews>
  <sheetFormatPr defaultColWidth="19.453125" defaultRowHeight="15.5" x14ac:dyDescent="0.35"/>
  <cols>
    <col min="1" max="1" width="6.453125" style="1" customWidth="1"/>
    <col min="2" max="2" width="24" style="11" customWidth="1"/>
    <col min="3" max="3" width="14.7265625" style="12" customWidth="1"/>
    <col min="4" max="4" width="22.54296875" style="13" customWidth="1"/>
    <col min="5" max="6" width="10.81640625" style="1" customWidth="1"/>
    <col min="7" max="7" width="11.81640625" style="1" customWidth="1"/>
    <col min="8" max="8" width="11.1796875" style="1" customWidth="1"/>
    <col min="9" max="244" width="9.1796875" style="1" customWidth="1"/>
    <col min="245" max="245" width="35.453125" style="1" bestFit="1" customWidth="1"/>
    <col min="246" max="253" width="17.7265625" style="1" customWidth="1"/>
    <col min="254" max="254" width="18.1796875" style="1" customWidth="1"/>
    <col min="255" max="255" width="17.453125" style="1" customWidth="1"/>
    <col min="256" max="16384" width="19.453125" style="1"/>
  </cols>
  <sheetData>
    <row r="1" spans="1:8" ht="18" x14ac:dyDescent="0.4">
      <c r="A1" s="51" t="s">
        <v>0</v>
      </c>
    </row>
    <row r="3" spans="1:8" ht="23.25" customHeight="1" x14ac:dyDescent="0.35">
      <c r="A3" s="6"/>
      <c r="B3" s="60" t="s">
        <v>1</v>
      </c>
      <c r="C3" s="60"/>
      <c r="D3" s="60"/>
    </row>
    <row r="4" spans="1:8" ht="34.5" customHeight="1" x14ac:dyDescent="0.35">
      <c r="A4" s="2">
        <v>1</v>
      </c>
      <c r="B4" s="65" t="s">
        <v>2</v>
      </c>
      <c r="C4" s="65"/>
      <c r="D4" s="65"/>
      <c r="E4" s="65"/>
      <c r="F4" s="65"/>
      <c r="G4" s="65"/>
      <c r="H4" s="65"/>
    </row>
    <row r="5" spans="1:8" ht="38.25" customHeight="1" x14ac:dyDescent="0.35">
      <c r="A5" s="2">
        <v>2</v>
      </c>
      <c r="B5" s="64" t="s">
        <v>3</v>
      </c>
      <c r="C5" s="64"/>
      <c r="D5" s="64"/>
      <c r="E5" s="64"/>
      <c r="F5" s="64"/>
      <c r="G5" s="64"/>
      <c r="H5" s="64"/>
    </row>
    <row r="6" spans="1:8" x14ac:dyDescent="0.35">
      <c r="A6" s="2"/>
      <c r="B6" s="68"/>
      <c r="C6" s="68"/>
      <c r="D6" s="68"/>
    </row>
    <row r="7" spans="1:8" x14ac:dyDescent="0.35">
      <c r="A7" s="8" t="s">
        <v>4</v>
      </c>
      <c r="B7" s="1"/>
      <c r="C7" s="9"/>
      <c r="D7" s="9"/>
    </row>
    <row r="8" spans="1:8" ht="20.25" customHeight="1" x14ac:dyDescent="0.35">
      <c r="A8" s="4"/>
      <c r="B8" s="45" t="s">
        <v>5</v>
      </c>
      <c r="C8" s="9"/>
      <c r="D8" s="9"/>
    </row>
    <row r="9" spans="1:8" ht="19.5" customHeight="1" x14ac:dyDescent="0.35">
      <c r="A9" s="5"/>
      <c r="B9" s="10" t="s">
        <v>6</v>
      </c>
      <c r="C9" s="9"/>
      <c r="D9" s="9"/>
    </row>
    <row r="10" spans="1:8" ht="18.75" customHeight="1" x14ac:dyDescent="0.35">
      <c r="A10" s="48" t="s">
        <v>7</v>
      </c>
      <c r="B10" s="10" t="s">
        <v>8</v>
      </c>
      <c r="C10" s="9"/>
      <c r="D10" s="9"/>
    </row>
    <row r="12" spans="1:8" s="6" customFormat="1" ht="21.75" customHeight="1" x14ac:dyDescent="0.35">
      <c r="B12" s="67" t="s">
        <v>9</v>
      </c>
      <c r="C12" s="67"/>
      <c r="D12" s="67"/>
    </row>
    <row r="13" spans="1:8" s="2" customFormat="1" ht="49.5" customHeight="1" x14ac:dyDescent="0.35">
      <c r="A13" s="2" t="s">
        <v>10</v>
      </c>
      <c r="B13" s="66" t="s">
        <v>11</v>
      </c>
      <c r="C13" s="66"/>
      <c r="D13" s="66"/>
      <c r="E13" s="66"/>
      <c r="F13" s="66"/>
      <c r="G13" s="66"/>
      <c r="H13" s="66"/>
    </row>
    <row r="14" spans="1:8" s="3" customFormat="1" ht="53.25" customHeight="1" x14ac:dyDescent="0.35">
      <c r="A14" s="3" t="s">
        <v>12</v>
      </c>
      <c r="B14" s="66" t="s">
        <v>13</v>
      </c>
      <c r="C14" s="66"/>
      <c r="D14" s="66"/>
      <c r="E14" s="66"/>
      <c r="F14" s="66"/>
      <c r="G14" s="66"/>
      <c r="H14" s="66"/>
    </row>
    <row r="15" spans="1:8" s="2" customFormat="1" ht="42.75" customHeight="1" x14ac:dyDescent="0.35">
      <c r="A15" s="2" t="s">
        <v>14</v>
      </c>
      <c r="B15" s="66" t="s">
        <v>15</v>
      </c>
      <c r="C15" s="66"/>
      <c r="D15" s="66"/>
      <c r="E15" s="66"/>
      <c r="F15" s="66"/>
      <c r="G15" s="66"/>
      <c r="H15" s="66"/>
    </row>
    <row r="16" spans="1:8" s="2" customFormat="1" ht="74.25" customHeight="1" x14ac:dyDescent="0.35">
      <c r="A16" s="2" t="s">
        <v>16</v>
      </c>
      <c r="B16" s="66" t="s">
        <v>17</v>
      </c>
      <c r="C16" s="66"/>
      <c r="D16" s="66"/>
      <c r="E16" s="66"/>
      <c r="F16" s="66"/>
      <c r="G16" s="66"/>
      <c r="H16" s="66"/>
    </row>
    <row r="17" spans="1:8" s="2" customFormat="1" ht="53.25" customHeight="1" x14ac:dyDescent="0.35">
      <c r="A17" s="2" t="s">
        <v>18</v>
      </c>
      <c r="B17" s="66" t="s">
        <v>19</v>
      </c>
      <c r="C17" s="66"/>
      <c r="D17" s="66"/>
      <c r="E17" s="66"/>
      <c r="F17" s="66"/>
      <c r="G17" s="66"/>
      <c r="H17" s="66"/>
    </row>
    <row r="18" spans="1:8" s="2" customFormat="1" ht="63" customHeight="1" x14ac:dyDescent="0.35">
      <c r="A18" s="2" t="s">
        <v>20</v>
      </c>
      <c r="B18" s="68" t="s">
        <v>78</v>
      </c>
      <c r="C18" s="68"/>
      <c r="D18" s="68"/>
      <c r="E18" s="68"/>
      <c r="F18" s="68"/>
      <c r="G18" s="68"/>
      <c r="H18" s="68"/>
    </row>
    <row r="19" spans="1:8" s="2" customFormat="1" ht="42" customHeight="1" x14ac:dyDescent="0.35">
      <c r="A19" s="2" t="s">
        <v>21</v>
      </c>
      <c r="B19" s="68" t="s">
        <v>22</v>
      </c>
      <c r="C19" s="68"/>
      <c r="D19" s="68"/>
      <c r="E19" s="68"/>
      <c r="F19" s="68"/>
      <c r="G19" s="68"/>
      <c r="H19" s="68"/>
    </row>
    <row r="20" spans="1:8" ht="22.5" customHeight="1" x14ac:dyDescent="0.35">
      <c r="B20" s="67" t="s">
        <v>23</v>
      </c>
      <c r="C20" s="67"/>
      <c r="D20" s="67"/>
    </row>
    <row r="21" spans="1:8" s="52" customFormat="1" x14ac:dyDescent="0.35">
      <c r="B21" s="69" t="s">
        <v>24</v>
      </c>
      <c r="C21" s="70"/>
      <c r="D21" s="70"/>
      <c r="E21" s="70"/>
      <c r="F21" s="70"/>
      <c r="G21" s="70"/>
      <c r="H21" s="71"/>
    </row>
    <row r="22" spans="1:8" s="52" customFormat="1" ht="62" x14ac:dyDescent="0.35">
      <c r="B22" s="53" t="s">
        <v>25</v>
      </c>
      <c r="C22" s="54" t="s">
        <v>26</v>
      </c>
      <c r="D22" s="54" t="s">
        <v>27</v>
      </c>
      <c r="E22" s="54" t="s">
        <v>28</v>
      </c>
      <c r="F22" s="54" t="s">
        <v>29</v>
      </c>
      <c r="G22" s="54" t="s">
        <v>30</v>
      </c>
      <c r="H22" s="54" t="s">
        <v>31</v>
      </c>
    </row>
    <row r="23" spans="1:8" s="52" customFormat="1" ht="25.5" customHeight="1" x14ac:dyDescent="0.35">
      <c r="B23" s="55">
        <v>1</v>
      </c>
      <c r="C23" s="56" t="s">
        <v>32</v>
      </c>
      <c r="D23" s="56" t="s">
        <v>33</v>
      </c>
      <c r="E23" s="56" t="s">
        <v>34</v>
      </c>
      <c r="F23" s="57" t="s">
        <v>35</v>
      </c>
      <c r="G23" s="57" t="s">
        <v>34</v>
      </c>
      <c r="H23" s="57" t="s">
        <v>35</v>
      </c>
    </row>
    <row r="24" spans="1:8" s="52" customFormat="1" ht="36" customHeight="1" x14ac:dyDescent="0.35">
      <c r="B24" s="55">
        <v>0</v>
      </c>
      <c r="C24" s="56" t="s">
        <v>36</v>
      </c>
      <c r="D24" s="56" t="s">
        <v>37</v>
      </c>
      <c r="E24" s="57" t="s">
        <v>38</v>
      </c>
      <c r="F24" s="56" t="s">
        <v>39</v>
      </c>
      <c r="G24" s="56" t="s">
        <v>40</v>
      </c>
      <c r="H24" s="58" t="s">
        <v>39</v>
      </c>
    </row>
    <row r="25" spans="1:8" x14ac:dyDescent="0.35">
      <c r="B25" s="27"/>
      <c r="C25" s="28"/>
      <c r="D25" s="28"/>
      <c r="E25" s="28"/>
      <c r="F25" s="28"/>
      <c r="G25" s="28"/>
      <c r="H25" s="21"/>
    </row>
    <row r="26" spans="1:8" ht="23.25" customHeight="1" x14ac:dyDescent="0.35">
      <c r="B26" s="66"/>
      <c r="C26" s="66"/>
      <c r="D26" s="66"/>
      <c r="E26" s="66"/>
      <c r="F26" s="66"/>
      <c r="G26" s="66"/>
      <c r="H26" s="66"/>
    </row>
    <row r="27" spans="1:8" ht="55.5" customHeight="1" x14ac:dyDescent="0.35">
      <c r="B27" s="66"/>
      <c r="C27" s="66"/>
      <c r="D27" s="66"/>
      <c r="E27" s="66"/>
      <c r="F27" s="66"/>
      <c r="G27" s="66"/>
      <c r="H27" s="66"/>
    </row>
    <row r="28" spans="1:8" ht="28.5" customHeight="1" x14ac:dyDescent="0.35">
      <c r="B28" s="66"/>
      <c r="C28" s="66"/>
      <c r="D28" s="66"/>
      <c r="E28" s="66"/>
      <c r="F28" s="66"/>
      <c r="G28" s="66"/>
      <c r="H28" s="66"/>
    </row>
    <row r="29" spans="1:8" ht="18.75" customHeight="1" x14ac:dyDescent="0.35">
      <c r="B29" s="1"/>
      <c r="C29" s="9"/>
      <c r="D29" s="9"/>
    </row>
    <row r="30" spans="1:8" x14ac:dyDescent="0.35">
      <c r="A30" s="7"/>
      <c r="B30" s="9"/>
      <c r="C30" s="9"/>
      <c r="D30" s="9"/>
    </row>
    <row r="31" spans="1:8" x14ac:dyDescent="0.35">
      <c r="A31" s="7"/>
      <c r="B31" s="9"/>
      <c r="C31" s="9"/>
      <c r="D31" s="9"/>
    </row>
    <row r="32" spans="1:8" x14ac:dyDescent="0.35">
      <c r="A32" s="7"/>
      <c r="B32" s="9"/>
      <c r="C32" s="9"/>
      <c r="D32" s="9"/>
    </row>
    <row r="33" spans="1:4" x14ac:dyDescent="0.35">
      <c r="A33" s="7"/>
      <c r="B33" s="9"/>
      <c r="C33" s="9"/>
      <c r="D33" s="9"/>
    </row>
    <row r="34" spans="1:4" x14ac:dyDescent="0.35">
      <c r="A34" s="7"/>
      <c r="B34" s="9"/>
      <c r="C34" s="9"/>
      <c r="D34" s="9"/>
    </row>
    <row r="35" spans="1:4" x14ac:dyDescent="0.35">
      <c r="A35" s="7"/>
      <c r="B35" s="9"/>
      <c r="C35" s="9"/>
      <c r="D35" s="9"/>
    </row>
    <row r="36" spans="1:4" x14ac:dyDescent="0.35">
      <c r="A36" s="7"/>
      <c r="B36" s="9"/>
      <c r="C36" s="9"/>
      <c r="D36" s="9"/>
    </row>
    <row r="37" spans="1:4" x14ac:dyDescent="0.35">
      <c r="A37" s="7"/>
      <c r="B37" s="9"/>
      <c r="C37" s="9"/>
      <c r="D37" s="9"/>
    </row>
    <row r="38" spans="1:4" x14ac:dyDescent="0.35">
      <c r="A38" s="7"/>
      <c r="B38" s="9"/>
      <c r="C38" s="9"/>
      <c r="D38" s="9"/>
    </row>
    <row r="39" spans="1:4" x14ac:dyDescent="0.35">
      <c r="A39" s="7"/>
      <c r="B39" s="9"/>
      <c r="C39" s="9"/>
      <c r="D39" s="9"/>
    </row>
    <row r="40" spans="1:4" x14ac:dyDescent="0.35">
      <c r="A40" s="7"/>
      <c r="B40" s="9"/>
      <c r="C40" s="9"/>
      <c r="D40" s="9"/>
    </row>
    <row r="41" spans="1:4" x14ac:dyDescent="0.35">
      <c r="A41" s="7"/>
      <c r="B41" s="9"/>
      <c r="C41" s="9"/>
      <c r="D41" s="9"/>
    </row>
    <row r="42" spans="1:4" x14ac:dyDescent="0.35">
      <c r="A42" s="7"/>
      <c r="B42" s="9"/>
      <c r="C42" s="9"/>
      <c r="D42" s="9"/>
    </row>
    <row r="43" spans="1:4" x14ac:dyDescent="0.35">
      <c r="A43" s="7"/>
      <c r="B43" s="9"/>
      <c r="C43" s="9"/>
      <c r="D43" s="9"/>
    </row>
    <row r="44" spans="1:4" x14ac:dyDescent="0.35">
      <c r="A44" s="7"/>
      <c r="B44" s="9"/>
      <c r="C44" s="9"/>
      <c r="D44" s="9"/>
    </row>
    <row r="45" spans="1:4" x14ac:dyDescent="0.35">
      <c r="A45" s="7"/>
      <c r="B45" s="9"/>
      <c r="C45" s="9"/>
      <c r="D45" s="9"/>
    </row>
    <row r="46" spans="1:4" x14ac:dyDescent="0.35">
      <c r="A46" s="7"/>
      <c r="B46" s="9"/>
      <c r="C46" s="9"/>
      <c r="D46" s="9"/>
    </row>
    <row r="47" spans="1:4" x14ac:dyDescent="0.35">
      <c r="A47" s="7"/>
      <c r="B47" s="9"/>
      <c r="C47" s="9"/>
      <c r="D47" s="9"/>
    </row>
    <row r="48" spans="1:4" x14ac:dyDescent="0.35">
      <c r="A48" s="7"/>
      <c r="B48" s="9"/>
      <c r="C48" s="9"/>
      <c r="D48" s="9"/>
    </row>
    <row r="49" spans="1:4" x14ac:dyDescent="0.35">
      <c r="A49" s="7"/>
      <c r="B49" s="9"/>
      <c r="C49" s="9"/>
      <c r="D49" s="9"/>
    </row>
    <row r="50" spans="1:4" x14ac:dyDescent="0.35">
      <c r="A50" s="7"/>
      <c r="B50" s="9"/>
      <c r="C50" s="9"/>
      <c r="D50" s="9"/>
    </row>
    <row r="51" spans="1:4" x14ac:dyDescent="0.35">
      <c r="A51" s="7"/>
      <c r="B51" s="9"/>
      <c r="C51" s="9"/>
      <c r="D51" s="9"/>
    </row>
    <row r="52" spans="1:4" x14ac:dyDescent="0.35">
      <c r="A52" s="7"/>
      <c r="B52" s="9"/>
      <c r="C52" s="9"/>
      <c r="D52" s="9"/>
    </row>
    <row r="53" spans="1:4" x14ac:dyDescent="0.35">
      <c r="A53" s="7"/>
      <c r="B53" s="9"/>
      <c r="C53" s="9"/>
      <c r="D53" s="9"/>
    </row>
    <row r="54" spans="1:4" x14ac:dyDescent="0.35">
      <c r="A54" s="7"/>
      <c r="B54" s="9"/>
      <c r="C54" s="9"/>
      <c r="D54" s="9"/>
    </row>
    <row r="55" spans="1:4" x14ac:dyDescent="0.35">
      <c r="A55" s="7"/>
      <c r="B55" s="9"/>
      <c r="C55" s="9"/>
      <c r="D55" s="9"/>
    </row>
    <row r="56" spans="1:4" x14ac:dyDescent="0.35">
      <c r="A56" s="7"/>
      <c r="B56" s="9"/>
      <c r="C56" s="9"/>
      <c r="D56" s="9"/>
    </row>
    <row r="57" spans="1:4" x14ac:dyDescent="0.35">
      <c r="A57" s="7"/>
      <c r="B57" s="9"/>
      <c r="C57" s="9"/>
      <c r="D57" s="9"/>
    </row>
    <row r="58" spans="1:4" x14ac:dyDescent="0.35">
      <c r="A58" s="7"/>
      <c r="B58" s="9"/>
      <c r="C58" s="9"/>
      <c r="D58" s="9"/>
    </row>
    <row r="59" spans="1:4" x14ac:dyDescent="0.35">
      <c r="A59" s="7"/>
      <c r="B59" s="9"/>
      <c r="C59" s="9"/>
      <c r="D59" s="9"/>
    </row>
    <row r="60" spans="1:4" x14ac:dyDescent="0.35">
      <c r="A60" s="7"/>
      <c r="B60" s="9"/>
      <c r="C60" s="9"/>
      <c r="D60" s="9"/>
    </row>
    <row r="61" spans="1:4" x14ac:dyDescent="0.35">
      <c r="A61" s="7"/>
      <c r="B61" s="9"/>
      <c r="C61" s="9"/>
      <c r="D61" s="9"/>
    </row>
    <row r="62" spans="1:4" x14ac:dyDescent="0.35">
      <c r="A62" s="7"/>
      <c r="B62" s="9"/>
      <c r="C62" s="9"/>
      <c r="D62" s="9"/>
    </row>
    <row r="63" spans="1:4" x14ac:dyDescent="0.35">
      <c r="A63" s="7"/>
      <c r="B63" s="9"/>
      <c r="C63" s="9"/>
      <c r="D63" s="9"/>
    </row>
    <row r="64" spans="1:4" x14ac:dyDescent="0.35">
      <c r="A64" s="7"/>
      <c r="B64" s="9"/>
      <c r="C64" s="9"/>
      <c r="D64" s="9"/>
    </row>
    <row r="65" spans="1:4" x14ac:dyDescent="0.35">
      <c r="A65" s="7"/>
      <c r="B65" s="9"/>
      <c r="C65" s="9"/>
      <c r="D65" s="9"/>
    </row>
    <row r="66" spans="1:4" x14ac:dyDescent="0.35">
      <c r="A66" s="7"/>
      <c r="B66" s="9"/>
      <c r="C66" s="9"/>
      <c r="D66" s="9"/>
    </row>
    <row r="67" spans="1:4" x14ac:dyDescent="0.35">
      <c r="A67" s="7"/>
      <c r="B67" s="9"/>
      <c r="C67" s="9"/>
      <c r="D67" s="9"/>
    </row>
    <row r="68" spans="1:4" x14ac:dyDescent="0.35">
      <c r="A68" s="7"/>
      <c r="B68" s="9"/>
      <c r="C68" s="9"/>
      <c r="D68" s="9"/>
    </row>
    <row r="69" spans="1:4" x14ac:dyDescent="0.35">
      <c r="A69" s="7"/>
      <c r="B69" s="9"/>
      <c r="C69" s="9"/>
      <c r="D69" s="9"/>
    </row>
    <row r="70" spans="1:4" x14ac:dyDescent="0.35">
      <c r="A70" s="7"/>
      <c r="B70" s="9"/>
      <c r="C70" s="9"/>
      <c r="D70" s="9"/>
    </row>
    <row r="71" spans="1:4" x14ac:dyDescent="0.35">
      <c r="A71" s="7"/>
      <c r="B71" s="9"/>
      <c r="C71" s="9"/>
      <c r="D71" s="9"/>
    </row>
    <row r="72" spans="1:4" x14ac:dyDescent="0.35">
      <c r="A72" s="7"/>
      <c r="B72" s="9"/>
      <c r="C72" s="9"/>
      <c r="D72" s="9"/>
    </row>
    <row r="73" spans="1:4" x14ac:dyDescent="0.35">
      <c r="A73" s="7"/>
      <c r="B73" s="9"/>
      <c r="C73" s="9"/>
      <c r="D73" s="9"/>
    </row>
    <row r="74" spans="1:4" x14ac:dyDescent="0.35">
      <c r="A74" s="7"/>
      <c r="B74" s="9"/>
      <c r="C74" s="9"/>
      <c r="D74" s="9"/>
    </row>
    <row r="75" spans="1:4" x14ac:dyDescent="0.35">
      <c r="A75" s="7"/>
      <c r="B75" s="9"/>
      <c r="C75" s="9"/>
      <c r="D75" s="9"/>
    </row>
    <row r="76" spans="1:4" x14ac:dyDescent="0.35">
      <c r="A76" s="7"/>
      <c r="B76" s="9"/>
      <c r="C76" s="9"/>
      <c r="D76" s="9"/>
    </row>
    <row r="77" spans="1:4" x14ac:dyDescent="0.35">
      <c r="A77" s="7"/>
      <c r="B77" s="9"/>
      <c r="C77" s="9"/>
      <c r="D77" s="9"/>
    </row>
    <row r="78" spans="1:4" x14ac:dyDescent="0.35">
      <c r="A78" s="7"/>
      <c r="B78" s="9"/>
      <c r="C78" s="9"/>
      <c r="D78" s="9"/>
    </row>
    <row r="79" spans="1:4" x14ac:dyDescent="0.35">
      <c r="A79" s="7"/>
      <c r="B79" s="9"/>
      <c r="C79" s="9"/>
      <c r="D79" s="9"/>
    </row>
    <row r="80" spans="1:4" x14ac:dyDescent="0.35">
      <c r="A80" s="7"/>
      <c r="B80" s="9"/>
      <c r="C80" s="9"/>
      <c r="D80" s="9"/>
    </row>
    <row r="81" spans="1:4" x14ac:dyDescent="0.35">
      <c r="A81" s="7"/>
      <c r="B81" s="9"/>
      <c r="C81" s="9"/>
      <c r="D81" s="9"/>
    </row>
    <row r="82" spans="1:4" x14ac:dyDescent="0.35">
      <c r="A82" s="7"/>
      <c r="B82" s="9"/>
      <c r="C82" s="9"/>
      <c r="D82" s="9"/>
    </row>
    <row r="83" spans="1:4" x14ac:dyDescent="0.35">
      <c r="A83" s="7"/>
      <c r="B83" s="9"/>
      <c r="C83" s="9"/>
      <c r="D83" s="9"/>
    </row>
    <row r="84" spans="1:4" x14ac:dyDescent="0.35">
      <c r="A84" s="7"/>
      <c r="B84" s="9"/>
      <c r="C84" s="9"/>
      <c r="D84" s="9"/>
    </row>
    <row r="85" spans="1:4" x14ac:dyDescent="0.35">
      <c r="A85" s="7"/>
      <c r="B85" s="9"/>
      <c r="C85" s="9"/>
      <c r="D85" s="9"/>
    </row>
    <row r="86" spans="1:4" x14ac:dyDescent="0.35">
      <c r="A86" s="7"/>
      <c r="B86" s="9"/>
      <c r="C86" s="9"/>
      <c r="D86" s="9"/>
    </row>
    <row r="87" spans="1:4" x14ac:dyDescent="0.35">
      <c r="A87" s="7"/>
      <c r="B87" s="9"/>
      <c r="C87" s="9"/>
      <c r="D87" s="9"/>
    </row>
    <row r="88" spans="1:4" x14ac:dyDescent="0.35">
      <c r="A88" s="7"/>
      <c r="B88" s="9"/>
      <c r="C88" s="9"/>
      <c r="D88" s="9"/>
    </row>
    <row r="89" spans="1:4" x14ac:dyDescent="0.35">
      <c r="A89" s="7"/>
      <c r="B89" s="9"/>
      <c r="C89" s="9"/>
      <c r="D89" s="9"/>
    </row>
    <row r="90" spans="1:4" x14ac:dyDescent="0.35">
      <c r="A90" s="7"/>
      <c r="B90" s="9"/>
      <c r="C90" s="9"/>
      <c r="D90" s="9"/>
    </row>
    <row r="91" spans="1:4" x14ac:dyDescent="0.35">
      <c r="A91" s="7"/>
      <c r="B91" s="9"/>
      <c r="C91" s="9"/>
      <c r="D91" s="9"/>
    </row>
    <row r="92" spans="1:4" x14ac:dyDescent="0.35">
      <c r="A92" s="7"/>
      <c r="B92" s="9"/>
      <c r="C92" s="9"/>
      <c r="D92" s="9"/>
    </row>
    <row r="93" spans="1:4" x14ac:dyDescent="0.35">
      <c r="A93" s="7"/>
      <c r="B93" s="9"/>
      <c r="C93" s="9"/>
      <c r="D93" s="9"/>
    </row>
    <row r="94" spans="1:4" x14ac:dyDescent="0.35">
      <c r="A94" s="7"/>
      <c r="B94" s="9"/>
      <c r="C94" s="9"/>
      <c r="D94" s="9"/>
    </row>
    <row r="95" spans="1:4" x14ac:dyDescent="0.35">
      <c r="A95" s="7"/>
      <c r="B95" s="9"/>
      <c r="C95" s="9"/>
      <c r="D95" s="9"/>
    </row>
    <row r="96" spans="1:4" x14ac:dyDescent="0.35">
      <c r="A96" s="7"/>
      <c r="B96" s="9"/>
      <c r="C96" s="9"/>
      <c r="D96" s="9"/>
    </row>
    <row r="97" spans="1:4" x14ac:dyDescent="0.35">
      <c r="A97" s="7"/>
      <c r="B97" s="9"/>
      <c r="C97" s="9"/>
      <c r="D97" s="9"/>
    </row>
    <row r="98" spans="1:4" x14ac:dyDescent="0.35">
      <c r="A98" s="7"/>
      <c r="B98" s="9"/>
      <c r="C98" s="9"/>
      <c r="D98" s="9"/>
    </row>
    <row r="99" spans="1:4" x14ac:dyDescent="0.35">
      <c r="A99" s="7"/>
      <c r="B99" s="9"/>
      <c r="C99" s="9"/>
      <c r="D99" s="9"/>
    </row>
    <row r="100" spans="1:4" x14ac:dyDescent="0.35">
      <c r="A100" s="7"/>
      <c r="B100" s="9"/>
      <c r="C100" s="9"/>
      <c r="D100" s="9"/>
    </row>
    <row r="101" spans="1:4" x14ac:dyDescent="0.35">
      <c r="A101" s="7"/>
      <c r="B101" s="9"/>
      <c r="C101" s="9"/>
      <c r="D101" s="9"/>
    </row>
    <row r="102" spans="1:4" x14ac:dyDescent="0.35">
      <c r="A102" s="7"/>
      <c r="B102" s="9"/>
      <c r="C102" s="9"/>
      <c r="D102" s="9"/>
    </row>
    <row r="103" spans="1:4" x14ac:dyDescent="0.35">
      <c r="A103" s="7"/>
      <c r="B103" s="9"/>
      <c r="C103" s="9"/>
      <c r="D103" s="9"/>
    </row>
    <row r="104" spans="1:4" x14ac:dyDescent="0.35">
      <c r="A104" s="7"/>
      <c r="B104" s="9"/>
      <c r="C104" s="9"/>
      <c r="D104" s="9"/>
    </row>
    <row r="105" spans="1:4" x14ac:dyDescent="0.35">
      <c r="A105" s="7"/>
      <c r="B105" s="9"/>
      <c r="C105" s="9"/>
      <c r="D105" s="9"/>
    </row>
    <row r="106" spans="1:4" x14ac:dyDescent="0.35">
      <c r="A106" s="7"/>
      <c r="B106" s="9"/>
      <c r="C106" s="9"/>
      <c r="D106" s="9"/>
    </row>
    <row r="107" spans="1:4" x14ac:dyDescent="0.35">
      <c r="A107" s="7"/>
      <c r="B107" s="9"/>
      <c r="C107" s="9"/>
      <c r="D107" s="9"/>
    </row>
    <row r="108" spans="1:4" x14ac:dyDescent="0.35">
      <c r="A108" s="7"/>
      <c r="B108" s="9"/>
      <c r="C108" s="9"/>
      <c r="D108" s="9"/>
    </row>
    <row r="109" spans="1:4" x14ac:dyDescent="0.35">
      <c r="A109" s="7"/>
      <c r="B109" s="9"/>
      <c r="C109" s="9"/>
      <c r="D109" s="9"/>
    </row>
    <row r="110" spans="1:4" x14ac:dyDescent="0.35">
      <c r="A110" s="7"/>
      <c r="B110" s="9"/>
      <c r="C110" s="9"/>
      <c r="D110" s="9"/>
    </row>
    <row r="111" spans="1:4" x14ac:dyDescent="0.35">
      <c r="A111" s="7"/>
      <c r="B111" s="9"/>
      <c r="C111" s="9"/>
      <c r="D111" s="9"/>
    </row>
    <row r="112" spans="1:4" x14ac:dyDescent="0.35">
      <c r="A112" s="7"/>
      <c r="B112" s="9"/>
      <c r="C112" s="9"/>
      <c r="D112" s="9"/>
    </row>
    <row r="113" spans="1:4" x14ac:dyDescent="0.35">
      <c r="A113" s="7"/>
      <c r="B113" s="9"/>
      <c r="C113" s="9"/>
      <c r="D113" s="9"/>
    </row>
    <row r="114" spans="1:4" x14ac:dyDescent="0.35">
      <c r="A114" s="7"/>
      <c r="B114" s="9"/>
      <c r="C114" s="9"/>
      <c r="D114" s="9"/>
    </row>
    <row r="115" spans="1:4" x14ac:dyDescent="0.35">
      <c r="A115" s="7"/>
      <c r="B115" s="9"/>
      <c r="C115" s="9"/>
      <c r="D115" s="9"/>
    </row>
    <row r="116" spans="1:4" x14ac:dyDescent="0.35">
      <c r="A116" s="7"/>
      <c r="B116" s="9"/>
      <c r="C116" s="9"/>
      <c r="D116" s="9"/>
    </row>
    <row r="117" spans="1:4" x14ac:dyDescent="0.35">
      <c r="A117" s="7"/>
      <c r="B117" s="9"/>
      <c r="C117" s="9"/>
      <c r="D117" s="9"/>
    </row>
    <row r="118" spans="1:4" x14ac:dyDescent="0.35">
      <c r="A118" s="7"/>
      <c r="B118" s="9"/>
      <c r="C118" s="9"/>
      <c r="D118" s="9"/>
    </row>
    <row r="119" spans="1:4" x14ac:dyDescent="0.35">
      <c r="A119" s="7"/>
      <c r="B119" s="9"/>
      <c r="C119" s="9"/>
      <c r="D119" s="9"/>
    </row>
    <row r="120" spans="1:4" x14ac:dyDescent="0.35">
      <c r="A120" s="7"/>
      <c r="B120" s="9"/>
      <c r="C120" s="9"/>
      <c r="D120" s="9"/>
    </row>
    <row r="121" spans="1:4" x14ac:dyDescent="0.35">
      <c r="A121" s="7"/>
      <c r="B121" s="9"/>
      <c r="C121" s="9"/>
      <c r="D121" s="9"/>
    </row>
    <row r="122" spans="1:4" x14ac:dyDescent="0.35">
      <c r="A122" s="7"/>
      <c r="B122" s="9"/>
      <c r="C122" s="9"/>
      <c r="D122" s="9"/>
    </row>
    <row r="123" spans="1:4" x14ac:dyDescent="0.35">
      <c r="A123" s="7"/>
      <c r="B123" s="9"/>
      <c r="C123" s="9"/>
      <c r="D123" s="9"/>
    </row>
    <row r="124" spans="1:4" x14ac:dyDescent="0.35">
      <c r="A124" s="7"/>
      <c r="B124" s="9"/>
      <c r="C124" s="9"/>
      <c r="D124" s="9"/>
    </row>
    <row r="125" spans="1:4" x14ac:dyDescent="0.35">
      <c r="A125" s="7"/>
      <c r="B125" s="9"/>
      <c r="C125" s="9"/>
      <c r="D125" s="9"/>
    </row>
    <row r="126" spans="1:4" x14ac:dyDescent="0.35">
      <c r="A126" s="7"/>
      <c r="B126" s="9"/>
      <c r="C126" s="9"/>
      <c r="D126" s="9"/>
    </row>
    <row r="127" spans="1:4" x14ac:dyDescent="0.35">
      <c r="A127" s="7"/>
      <c r="B127" s="9"/>
      <c r="C127" s="9"/>
      <c r="D127" s="9"/>
    </row>
  </sheetData>
  <sheetProtection selectLockedCells="1" selectUnlockedCells="1"/>
  <mergeCells count="16">
    <mergeCell ref="B28:H28"/>
    <mergeCell ref="B20:D20"/>
    <mergeCell ref="B12:D12"/>
    <mergeCell ref="B6:D6"/>
    <mergeCell ref="B21:H21"/>
    <mergeCell ref="B19:H19"/>
    <mergeCell ref="B18:H18"/>
    <mergeCell ref="B17:H17"/>
    <mergeCell ref="B16:H16"/>
    <mergeCell ref="B15:H15"/>
    <mergeCell ref="B13:H13"/>
    <mergeCell ref="B5:H5"/>
    <mergeCell ref="B4:H4"/>
    <mergeCell ref="B14:H14"/>
    <mergeCell ref="B26:H26"/>
    <mergeCell ref="B27:H27"/>
  </mergeCells>
  <phoneticPr fontId="4" type="noConversion"/>
  <pageMargins left="0.75" right="0.75" top="1" bottom="1" header="0.5" footer="0.5"/>
  <pageSetup paperSize="9" scale="73"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55"/>
  <sheetViews>
    <sheetView showGridLines="0" zoomScale="70" zoomScaleNormal="70" zoomScaleSheetLayoutView="100" workbookViewId="0">
      <selection activeCell="C13" sqref="C13:D13"/>
    </sheetView>
  </sheetViews>
  <sheetFormatPr defaultColWidth="8.7265625" defaultRowHeight="13" x14ac:dyDescent="0.35"/>
  <cols>
    <col min="1" max="1" width="38.81640625" style="18" customWidth="1"/>
    <col min="2" max="2" width="16.7265625" style="29" customWidth="1"/>
    <col min="3" max="3" width="17" style="19" customWidth="1"/>
    <col min="4" max="4" width="65.54296875" style="20" customWidth="1"/>
    <col min="5" max="229" width="9.1796875" style="14" customWidth="1"/>
    <col min="230" max="230" width="38.81640625" style="14" customWidth="1"/>
    <col min="231" max="231" width="17.7265625" style="14" customWidth="1"/>
    <col min="232" max="232" width="3.7265625" style="14" customWidth="1"/>
    <col min="233" max="233" width="14.26953125" style="14" customWidth="1"/>
    <col min="234" max="234" width="4.1796875" style="14" bestFit="1" customWidth="1"/>
    <col min="235" max="235" width="13.54296875" style="14" customWidth="1"/>
    <col min="236" max="236" width="4" style="14" customWidth="1"/>
    <col min="237" max="237" width="17.7265625" style="14" customWidth="1"/>
    <col min="238" max="238" width="4.81640625" style="14" customWidth="1"/>
    <col min="239" max="239" width="13.54296875" style="14" customWidth="1"/>
    <col min="240" max="240" width="4.81640625" style="14" customWidth="1"/>
    <col min="241" max="241" width="15" style="14" customWidth="1"/>
    <col min="242" max="242" width="6.1796875" style="14" bestFit="1" customWidth="1"/>
    <col min="243" max="243" width="15.453125" style="14" bestFit="1" customWidth="1"/>
    <col min="244" max="244" width="3.81640625" style="14" customWidth="1"/>
    <col min="245" max="245" width="14.26953125" style="14" customWidth="1"/>
    <col min="246" max="246" width="4.1796875" style="14" bestFit="1" customWidth="1"/>
    <col min="247" max="247" width="14.26953125" style="14" bestFit="1" customWidth="1"/>
    <col min="248" max="248" width="4.1796875" style="14" bestFit="1" customWidth="1"/>
    <col min="249" max="249" width="12.453125" style="14" customWidth="1"/>
    <col min="250" max="250" width="5.54296875" style="14" bestFit="1" customWidth="1"/>
    <col min="251" max="251" width="13" style="14" customWidth="1"/>
    <col min="252" max="252" width="4.1796875" style="14" bestFit="1" customWidth="1"/>
    <col min="253" max="253" width="17.7265625" style="14" customWidth="1"/>
    <col min="254" max="254" width="4.1796875" style="14" bestFit="1" customWidth="1"/>
    <col min="255" max="255" width="15.453125" style="14" customWidth="1"/>
    <col min="256" max="16384" width="8.7265625" style="14"/>
  </cols>
  <sheetData>
    <row r="1" spans="1:4" s="15" customFormat="1" ht="24.75" customHeight="1" x14ac:dyDescent="0.35">
      <c r="A1" s="72" t="s">
        <v>41</v>
      </c>
      <c r="B1" s="72"/>
      <c r="C1" s="72"/>
      <c r="D1" s="72"/>
    </row>
    <row r="2" spans="1:4" ht="33" customHeight="1" x14ac:dyDescent="0.35">
      <c r="A2" s="49" t="s">
        <v>42</v>
      </c>
      <c r="B2" s="73"/>
      <c r="C2" s="74"/>
      <c r="D2" s="75"/>
    </row>
    <row r="3" spans="1:4" ht="9.75" customHeight="1" x14ac:dyDescent="0.35">
      <c r="A3" s="49"/>
      <c r="B3" s="49"/>
      <c r="C3" s="49"/>
      <c r="D3" s="49"/>
    </row>
    <row r="4" spans="1:4" ht="25.5" customHeight="1" x14ac:dyDescent="0.35">
      <c r="A4" s="50" t="s">
        <v>43</v>
      </c>
      <c r="B4" s="49"/>
      <c r="C4" s="49"/>
      <c r="D4" s="49"/>
    </row>
    <row r="5" spans="1:4" ht="43.5" customHeight="1" x14ac:dyDescent="0.35">
      <c r="A5" s="63" t="s">
        <v>44</v>
      </c>
      <c r="B5" s="47" t="s">
        <v>45</v>
      </c>
      <c r="C5" s="80" t="s">
        <v>46</v>
      </c>
      <c r="D5" s="81"/>
    </row>
    <row r="6" spans="1:4" ht="15.75" customHeight="1" x14ac:dyDescent="0.35">
      <c r="A6" s="79" t="s">
        <v>47</v>
      </c>
      <c r="B6" s="77"/>
      <c r="C6" s="77"/>
      <c r="D6" s="78"/>
    </row>
    <row r="7" spans="1:4" ht="18.75" customHeight="1" x14ac:dyDescent="0.35">
      <c r="A7" s="39" t="s">
        <v>48</v>
      </c>
      <c r="B7" s="30">
        <v>0</v>
      </c>
      <c r="C7" s="82"/>
      <c r="D7" s="83"/>
    </row>
    <row r="8" spans="1:4" ht="18.75" customHeight="1" x14ac:dyDescent="0.35">
      <c r="A8" s="39" t="s">
        <v>49</v>
      </c>
      <c r="B8" s="30">
        <v>0</v>
      </c>
      <c r="C8" s="82"/>
      <c r="D8" s="83"/>
    </row>
    <row r="9" spans="1:4" ht="18.75" customHeight="1" x14ac:dyDescent="0.35">
      <c r="A9" s="39" t="s">
        <v>50</v>
      </c>
      <c r="B9" s="30">
        <v>0</v>
      </c>
      <c r="C9" s="82"/>
      <c r="D9" s="83"/>
    </row>
    <row r="10" spans="1:4" ht="17.25" customHeight="1" x14ac:dyDescent="0.35">
      <c r="A10" s="79" t="s">
        <v>51</v>
      </c>
      <c r="B10" s="77"/>
      <c r="C10" s="77"/>
      <c r="D10" s="78"/>
    </row>
    <row r="11" spans="1:4" ht="18.75" customHeight="1" x14ac:dyDescent="0.35">
      <c r="A11" s="39" t="s">
        <v>52</v>
      </c>
      <c r="B11" s="30">
        <v>0</v>
      </c>
      <c r="C11" s="82"/>
      <c r="D11" s="83"/>
    </row>
    <row r="12" spans="1:4" ht="18.75" customHeight="1" x14ac:dyDescent="0.35">
      <c r="A12" s="39" t="s">
        <v>53</v>
      </c>
      <c r="B12" s="30">
        <v>0</v>
      </c>
      <c r="C12" s="82"/>
      <c r="D12" s="83"/>
    </row>
    <row r="13" spans="1:4" ht="18.75" customHeight="1" x14ac:dyDescent="0.35">
      <c r="A13" s="39" t="s">
        <v>54</v>
      </c>
      <c r="B13" s="30">
        <v>0</v>
      </c>
      <c r="C13" s="82"/>
      <c r="D13" s="83"/>
    </row>
    <row r="14" spans="1:4" ht="18.75" customHeight="1" x14ac:dyDescent="0.35">
      <c r="A14" s="39" t="s">
        <v>55</v>
      </c>
      <c r="B14" s="30">
        <v>0</v>
      </c>
      <c r="C14" s="82"/>
      <c r="D14" s="83"/>
    </row>
    <row r="15" spans="1:4" ht="16.5" customHeight="1" x14ac:dyDescent="0.35">
      <c r="A15" s="79" t="s">
        <v>56</v>
      </c>
      <c r="B15" s="77"/>
      <c r="C15" s="77"/>
      <c r="D15" s="78"/>
    </row>
    <row r="16" spans="1:4" ht="39" x14ac:dyDescent="0.3">
      <c r="A16" s="40" t="s">
        <v>57</v>
      </c>
      <c r="B16" s="41">
        <v>0</v>
      </c>
      <c r="C16" s="82"/>
      <c r="D16" s="83"/>
    </row>
    <row r="17" spans="1:4" ht="7.5" customHeight="1" x14ac:dyDescent="0.35"/>
    <row r="18" spans="1:4" ht="21" customHeight="1" x14ac:dyDescent="0.35">
      <c r="A18" s="46" t="s">
        <v>58</v>
      </c>
      <c r="B18" s="46" t="s">
        <v>59</v>
      </c>
      <c r="C18" s="46"/>
      <c r="D18" s="46"/>
    </row>
    <row r="19" spans="1:4" ht="21" customHeight="1" x14ac:dyDescent="0.35">
      <c r="A19" s="76" t="s">
        <v>60</v>
      </c>
      <c r="B19" s="77"/>
      <c r="C19" s="77"/>
      <c r="D19" s="78"/>
    </row>
    <row r="20" spans="1:4" ht="19.5" customHeight="1" x14ac:dyDescent="0.35">
      <c r="A20" s="16" t="s">
        <v>26</v>
      </c>
      <c r="B20" s="36" t="e">
        <f>SUM(B11/B12)</f>
        <v>#DIV/0!</v>
      </c>
      <c r="C20" s="61" t="e">
        <f>IF(B20&gt;=0.8,1,0)</f>
        <v>#DIV/0!</v>
      </c>
      <c r="D20" s="17" t="s">
        <v>61</v>
      </c>
    </row>
    <row r="21" spans="1:4" ht="23.25" customHeight="1" x14ac:dyDescent="0.35">
      <c r="A21" s="16" t="s">
        <v>27</v>
      </c>
      <c r="B21" s="37">
        <f>B11-B12</f>
        <v>0</v>
      </c>
      <c r="C21" s="61">
        <f>IF(B21&gt;=0,1,0)</f>
        <v>1</v>
      </c>
      <c r="D21" s="17" t="s">
        <v>62</v>
      </c>
    </row>
    <row r="22" spans="1:4" ht="13.5" customHeight="1" x14ac:dyDescent="0.35">
      <c r="A22" s="76" t="s">
        <v>63</v>
      </c>
      <c r="B22" s="77"/>
      <c r="C22" s="77"/>
      <c r="D22" s="84"/>
    </row>
    <row r="23" spans="1:4" ht="25" x14ac:dyDescent="0.35">
      <c r="A23" s="16" t="s">
        <v>28</v>
      </c>
      <c r="B23" s="38" t="e">
        <f>(B13/B14)</f>
        <v>#DIV/0!</v>
      </c>
      <c r="C23" s="61" t="e">
        <f>IF(AND(B23&gt;=0%,B23&lt;=100%),1,0)</f>
        <v>#DIV/0!</v>
      </c>
      <c r="D23" s="17" t="s">
        <v>64</v>
      </c>
    </row>
    <row r="24" spans="1:4" ht="13.5" customHeight="1" x14ac:dyDescent="0.35">
      <c r="A24" s="76" t="s">
        <v>65</v>
      </c>
      <c r="B24" s="77"/>
      <c r="C24" s="77"/>
      <c r="D24" s="84"/>
    </row>
    <row r="25" spans="1:4" ht="25" x14ac:dyDescent="0.35">
      <c r="A25" s="16" t="s">
        <v>29</v>
      </c>
      <c r="B25" s="38" t="e">
        <f>B8/(B13+B14)</f>
        <v>#DIV/0!</v>
      </c>
      <c r="C25" s="61" t="e">
        <f>IF(B25&gt;=0,1,0)</f>
        <v>#DIV/0!</v>
      </c>
      <c r="D25" s="17" t="s">
        <v>66</v>
      </c>
    </row>
    <row r="26" spans="1:4" ht="24.75" customHeight="1" x14ac:dyDescent="0.35">
      <c r="A26" s="16" t="s">
        <v>31</v>
      </c>
      <c r="B26" s="38" t="e">
        <f>SUM(B9/B7)</f>
        <v>#DIV/0!</v>
      </c>
      <c r="C26" s="61" t="e">
        <f>IF(B26&gt;=0,1,0)</f>
        <v>#DIV/0!</v>
      </c>
      <c r="D26" s="17" t="s">
        <v>67</v>
      </c>
    </row>
    <row r="27" spans="1:4" ht="13.5" customHeight="1" x14ac:dyDescent="0.35">
      <c r="A27" s="76" t="s">
        <v>68</v>
      </c>
      <c r="B27" s="77"/>
      <c r="C27" s="77"/>
      <c r="D27" s="84"/>
    </row>
    <row r="28" spans="1:4" ht="25" x14ac:dyDescent="0.35">
      <c r="A28" s="16" t="s">
        <v>30</v>
      </c>
      <c r="B28" s="36" t="e">
        <f>'Calculated AGV Ratio'!B9</f>
        <v>#DIV/0!</v>
      </c>
      <c r="C28" s="62" t="e">
        <f>'Calculated AGV Ratio'!B10</f>
        <v>#DIV/0!</v>
      </c>
      <c r="D28" s="17" t="s">
        <v>69</v>
      </c>
    </row>
    <row r="29" spans="1:4" ht="27" customHeight="1" x14ac:dyDescent="0.35"/>
    <row r="30" spans="1:4" ht="25.5" customHeight="1" x14ac:dyDescent="0.35">
      <c r="A30" s="50" t="s">
        <v>70</v>
      </c>
      <c r="B30" s="49"/>
      <c r="C30" s="49"/>
      <c r="D30" s="49"/>
    </row>
    <row r="31" spans="1:4" ht="41.25" customHeight="1" x14ac:dyDescent="0.35">
      <c r="A31" s="63" t="s">
        <v>44</v>
      </c>
      <c r="B31" s="47" t="s">
        <v>45</v>
      </c>
      <c r="C31" s="80" t="s">
        <v>46</v>
      </c>
      <c r="D31" s="81"/>
    </row>
    <row r="32" spans="1:4" ht="16.5" customHeight="1" x14ac:dyDescent="0.35">
      <c r="A32" s="79" t="s">
        <v>47</v>
      </c>
      <c r="B32" s="77"/>
      <c r="C32" s="77"/>
      <c r="D32" s="78"/>
    </row>
    <row r="33" spans="1:4" ht="22.5" customHeight="1" x14ac:dyDescent="0.35">
      <c r="A33" s="39" t="s">
        <v>48</v>
      </c>
      <c r="B33" s="30"/>
      <c r="C33" s="82"/>
      <c r="D33" s="83"/>
    </row>
    <row r="34" spans="1:4" ht="22.5" customHeight="1" x14ac:dyDescent="0.35">
      <c r="A34" s="39" t="s">
        <v>49</v>
      </c>
      <c r="B34" s="30"/>
      <c r="C34" s="82"/>
      <c r="D34" s="83"/>
    </row>
    <row r="35" spans="1:4" ht="22.5" customHeight="1" x14ac:dyDescent="0.35">
      <c r="A35" s="39" t="s">
        <v>50</v>
      </c>
      <c r="B35" s="30"/>
      <c r="C35" s="82"/>
      <c r="D35" s="83"/>
    </row>
    <row r="36" spans="1:4" ht="15.75" customHeight="1" x14ac:dyDescent="0.35">
      <c r="A36" s="79" t="s">
        <v>51</v>
      </c>
      <c r="B36" s="77"/>
      <c r="C36" s="77"/>
      <c r="D36" s="78"/>
    </row>
    <row r="37" spans="1:4" ht="21.75" customHeight="1" x14ac:dyDescent="0.35">
      <c r="A37" s="39" t="s">
        <v>52</v>
      </c>
      <c r="B37" s="30"/>
      <c r="C37" s="82"/>
      <c r="D37" s="83"/>
    </row>
    <row r="38" spans="1:4" ht="21.75" customHeight="1" x14ac:dyDescent="0.35">
      <c r="A38" s="39" t="s">
        <v>53</v>
      </c>
      <c r="B38" s="30"/>
      <c r="C38" s="82"/>
      <c r="D38" s="83"/>
    </row>
    <row r="39" spans="1:4" ht="21.75" customHeight="1" x14ac:dyDescent="0.35">
      <c r="A39" s="39" t="s">
        <v>54</v>
      </c>
      <c r="B39" s="30"/>
      <c r="C39" s="82"/>
      <c r="D39" s="83"/>
    </row>
    <row r="40" spans="1:4" ht="21.75" customHeight="1" x14ac:dyDescent="0.35">
      <c r="A40" s="39" t="s">
        <v>55</v>
      </c>
      <c r="B40" s="30"/>
      <c r="C40" s="82"/>
      <c r="D40" s="83"/>
    </row>
    <row r="41" spans="1:4" ht="15.75" customHeight="1" x14ac:dyDescent="0.35">
      <c r="A41" s="79" t="s">
        <v>56</v>
      </c>
      <c r="B41" s="77"/>
      <c r="C41" s="77"/>
      <c r="D41" s="78"/>
    </row>
    <row r="42" spans="1:4" ht="42.75" customHeight="1" x14ac:dyDescent="0.3">
      <c r="A42" s="40" t="s">
        <v>57</v>
      </c>
      <c r="B42" s="41"/>
      <c r="C42" s="82"/>
      <c r="D42" s="83"/>
    </row>
    <row r="43" spans="1:4" ht="7.5" customHeight="1" x14ac:dyDescent="0.35"/>
    <row r="44" spans="1:4" ht="12.75" customHeight="1" x14ac:dyDescent="0.35">
      <c r="A44" s="46" t="s">
        <v>58</v>
      </c>
      <c r="B44" s="46" t="s">
        <v>59</v>
      </c>
      <c r="C44" s="46"/>
      <c r="D44" s="46"/>
    </row>
    <row r="45" spans="1:4" ht="16.5" customHeight="1" x14ac:dyDescent="0.35">
      <c r="A45" s="76" t="s">
        <v>60</v>
      </c>
      <c r="B45" s="77"/>
      <c r="C45" s="77"/>
      <c r="D45" s="78"/>
    </row>
    <row r="46" spans="1:4" ht="21.75" customHeight="1" x14ac:dyDescent="0.35">
      <c r="A46" s="16" t="s">
        <v>26</v>
      </c>
      <c r="B46" s="36" t="e">
        <f>SUM(B37/B38)</f>
        <v>#DIV/0!</v>
      </c>
      <c r="C46" s="61" t="e">
        <f>IF(B46&gt;=0.8,1,0)</f>
        <v>#DIV/0!</v>
      </c>
      <c r="D46" s="17" t="s">
        <v>61</v>
      </c>
    </row>
    <row r="47" spans="1:4" ht="18" customHeight="1" x14ac:dyDescent="0.35">
      <c r="A47" s="16" t="s">
        <v>27</v>
      </c>
      <c r="B47" s="37">
        <f>B37-B38</f>
        <v>0</v>
      </c>
      <c r="C47" s="61">
        <f>IF(B47&gt;=0,1,0)</f>
        <v>1</v>
      </c>
      <c r="D47" s="17" t="s">
        <v>62</v>
      </c>
    </row>
    <row r="48" spans="1:4" ht="13.5" customHeight="1" x14ac:dyDescent="0.35">
      <c r="A48" s="76" t="s">
        <v>63</v>
      </c>
      <c r="B48" s="77"/>
      <c r="C48" s="77"/>
      <c r="D48" s="84"/>
    </row>
    <row r="49" spans="1:4" ht="29.25" customHeight="1" x14ac:dyDescent="0.35">
      <c r="A49" s="16" t="s">
        <v>28</v>
      </c>
      <c r="B49" s="38" t="e">
        <f>(B39/B40)</f>
        <v>#DIV/0!</v>
      </c>
      <c r="C49" s="61" t="e">
        <f>IF(AND(B49&gt;=0%,B49&lt;=100%),1,0)</f>
        <v>#DIV/0!</v>
      </c>
      <c r="D49" s="17" t="s">
        <v>64</v>
      </c>
    </row>
    <row r="50" spans="1:4" ht="15.75" customHeight="1" x14ac:dyDescent="0.35">
      <c r="A50" s="76" t="s">
        <v>65</v>
      </c>
      <c r="B50" s="77"/>
      <c r="C50" s="77"/>
      <c r="D50" s="84"/>
    </row>
    <row r="51" spans="1:4" ht="25" x14ac:dyDescent="0.35">
      <c r="A51" s="16" t="s">
        <v>29</v>
      </c>
      <c r="B51" s="38" t="e">
        <f>B34/(B39+B40)</f>
        <v>#DIV/0!</v>
      </c>
      <c r="C51" s="61" t="e">
        <f>IF(B51&gt;=0,1,0)</f>
        <v>#DIV/0!</v>
      </c>
      <c r="D51" s="17" t="s">
        <v>66</v>
      </c>
    </row>
    <row r="52" spans="1:4" ht="18" customHeight="1" x14ac:dyDescent="0.35">
      <c r="A52" s="16" t="s">
        <v>31</v>
      </c>
      <c r="B52" s="38" t="e">
        <f>SUM(B35/B33)</f>
        <v>#DIV/0!</v>
      </c>
      <c r="C52" s="61" t="e">
        <f>IF(B52&gt;=0,1,0)</f>
        <v>#DIV/0!</v>
      </c>
      <c r="D52" s="17" t="s">
        <v>67</v>
      </c>
    </row>
    <row r="53" spans="1:4" ht="13.5" customHeight="1" x14ac:dyDescent="0.35">
      <c r="A53" s="76" t="s">
        <v>68</v>
      </c>
      <c r="B53" s="77"/>
      <c r="C53" s="77"/>
      <c r="D53" s="84"/>
    </row>
    <row r="54" spans="1:4" ht="25" x14ac:dyDescent="0.35">
      <c r="A54" s="16" t="s">
        <v>30</v>
      </c>
      <c r="B54" s="36" t="e">
        <f>'Calculated AGV Ratio'!B18</f>
        <v>#DIV/0!</v>
      </c>
      <c r="C54" s="62" t="e">
        <f>'Calculated AGV Ratio'!B19</f>
        <v>#DIV/0!</v>
      </c>
      <c r="D54" s="17" t="s">
        <v>69</v>
      </c>
    </row>
    <row r="55" spans="1:4" ht="24.75" customHeight="1" x14ac:dyDescent="0.35">
      <c r="A55" s="42"/>
      <c r="B55" s="42"/>
      <c r="C55" s="42"/>
      <c r="D55" s="43"/>
    </row>
  </sheetData>
  <sheetProtection selectLockedCells="1"/>
  <mergeCells count="34">
    <mergeCell ref="A53:D53"/>
    <mergeCell ref="A36:D36"/>
    <mergeCell ref="A41:D41"/>
    <mergeCell ref="A45:D45"/>
    <mergeCell ref="A48:D48"/>
    <mergeCell ref="A50:D50"/>
    <mergeCell ref="C38:D38"/>
    <mergeCell ref="C39:D39"/>
    <mergeCell ref="C40:D40"/>
    <mergeCell ref="C42:D42"/>
    <mergeCell ref="C37:D37"/>
    <mergeCell ref="C31:D31"/>
    <mergeCell ref="C33:D33"/>
    <mergeCell ref="C34:D34"/>
    <mergeCell ref="C35:D35"/>
    <mergeCell ref="A15:D15"/>
    <mergeCell ref="A32:D32"/>
    <mergeCell ref="A22:D22"/>
    <mergeCell ref="A24:D24"/>
    <mergeCell ref="A27:D27"/>
    <mergeCell ref="A1:D1"/>
    <mergeCell ref="B2:D2"/>
    <mergeCell ref="A19:D19"/>
    <mergeCell ref="A6:D6"/>
    <mergeCell ref="A10:D10"/>
    <mergeCell ref="C5:D5"/>
    <mergeCell ref="C16:D16"/>
    <mergeCell ref="C14:D14"/>
    <mergeCell ref="C7:D7"/>
    <mergeCell ref="C8:D8"/>
    <mergeCell ref="C9:D9"/>
    <mergeCell ref="C11:D11"/>
    <mergeCell ref="C12:D12"/>
    <mergeCell ref="C13:D13"/>
  </mergeCells>
  <phoneticPr fontId="4" type="noConversion"/>
  <conditionalFormatting sqref="C20:C21 C25:C26 C28">
    <cfRule type="cellIs" dxfId="2" priority="3" stopIfTrue="1" operator="equal">
      <formula>0</formula>
    </cfRule>
  </conditionalFormatting>
  <conditionalFormatting sqref="C23">
    <cfRule type="cellIs" dxfId="1" priority="1" stopIfTrue="1" operator="equal">
      <formula>0</formula>
    </cfRule>
  </conditionalFormatting>
  <conditionalFormatting sqref="C46:C47 C49 C51:C52 C54">
    <cfRule type="cellIs" dxfId="0" priority="2" stopIfTrue="1" operator="equal">
      <formula>0</formula>
    </cfRule>
  </conditionalFormatting>
  <pageMargins left="0.6692913385826772" right="0.23622047244094491" top="0.98425196850393704" bottom="0.70866141732283472" header="0.23622047244094491" footer="0.51181102362204722"/>
  <pageSetup paperSize="8" scale="62" orientation="landscape"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20"/>
  <sheetViews>
    <sheetView showGridLines="0" zoomScale="70" zoomScaleNormal="70" workbookViewId="0">
      <selection activeCell="D34" sqref="D34"/>
    </sheetView>
  </sheetViews>
  <sheetFormatPr defaultColWidth="32.1796875" defaultRowHeight="12.5" x14ac:dyDescent="0.25"/>
  <cols>
    <col min="1" max="1" width="61.453125" style="24" customWidth="1"/>
    <col min="2" max="2" width="15.453125" style="24" customWidth="1"/>
    <col min="3" max="16384" width="32.1796875" style="24"/>
  </cols>
  <sheetData>
    <row r="1" spans="1:3" ht="15.5" x14ac:dyDescent="0.35">
      <c r="A1" s="44" t="s">
        <v>71</v>
      </c>
    </row>
    <row r="3" spans="1:3" ht="13" x14ac:dyDescent="0.3">
      <c r="A3" s="85" t="str">
        <f>'For BIDDER COMPLETION'!A5</f>
        <v xml:space="preserve">INSERT WHICH FINANCIAL YEAR(S) THE DATA RELATES TO </v>
      </c>
      <c r="B3" s="86"/>
    </row>
    <row r="4" spans="1:3" ht="13" x14ac:dyDescent="0.3">
      <c r="A4" s="22" t="s">
        <v>72</v>
      </c>
      <c r="B4" s="23"/>
    </row>
    <row r="5" spans="1:3" ht="13" x14ac:dyDescent="0.25">
      <c r="A5" s="25" t="s">
        <v>73</v>
      </c>
      <c r="B5" s="59">
        <v>1640000</v>
      </c>
      <c r="C5" s="26"/>
    </row>
    <row r="6" spans="1:3" ht="25" x14ac:dyDescent="0.25">
      <c r="A6" s="25" t="s">
        <v>57</v>
      </c>
      <c r="B6" s="31">
        <f>'For BIDDER COMPLETION'!B16</f>
        <v>0</v>
      </c>
    </row>
    <row r="7" spans="1:3" x14ac:dyDescent="0.25">
      <c r="A7" s="25" t="s">
        <v>74</v>
      </c>
      <c r="B7" s="32">
        <f>B5*B6</f>
        <v>0</v>
      </c>
    </row>
    <row r="8" spans="1:3" x14ac:dyDescent="0.25">
      <c r="A8" s="25" t="s">
        <v>75</v>
      </c>
      <c r="B8" s="33">
        <f>'For BIDDER COMPLETION'!B7</f>
        <v>0</v>
      </c>
    </row>
    <row r="9" spans="1:3" x14ac:dyDescent="0.25">
      <c r="A9" s="25" t="s">
        <v>76</v>
      </c>
      <c r="B9" s="34" t="e">
        <f>B7/B8</f>
        <v>#DIV/0!</v>
      </c>
    </row>
    <row r="10" spans="1:3" ht="13" x14ac:dyDescent="0.3">
      <c r="A10" s="22" t="s">
        <v>77</v>
      </c>
      <c r="B10" s="35" t="e">
        <f>IF(B9&lt;=100%,1,0)</f>
        <v>#DIV/0!</v>
      </c>
    </row>
    <row r="11" spans="1:3" ht="18" customHeight="1" x14ac:dyDescent="0.25"/>
    <row r="12" spans="1:3" ht="13" x14ac:dyDescent="0.3">
      <c r="A12" s="85" t="str">
        <f>'For BIDDER COMPLETION'!A31</f>
        <v xml:space="preserve">INSERT WHICH FINANCIAL YEAR(S) THE DATA RELATES TO </v>
      </c>
      <c r="B12" s="86"/>
    </row>
    <row r="13" spans="1:3" ht="13" x14ac:dyDescent="0.3">
      <c r="A13" s="22" t="s">
        <v>72</v>
      </c>
      <c r="B13" s="23"/>
    </row>
    <row r="14" spans="1:3" ht="13" x14ac:dyDescent="0.25">
      <c r="A14" s="25" t="s">
        <v>73</v>
      </c>
      <c r="B14" s="59">
        <v>1640000</v>
      </c>
      <c r="C14" s="26"/>
    </row>
    <row r="15" spans="1:3" ht="25" x14ac:dyDescent="0.25">
      <c r="A15" s="25" t="s">
        <v>57</v>
      </c>
      <c r="B15" s="31">
        <f>'For BIDDER COMPLETION'!B42</f>
        <v>0</v>
      </c>
    </row>
    <row r="16" spans="1:3" x14ac:dyDescent="0.25">
      <c r="A16" s="25" t="s">
        <v>74</v>
      </c>
      <c r="B16" s="32">
        <f>B14*B15</f>
        <v>0</v>
      </c>
    </row>
    <row r="17" spans="1:2" x14ac:dyDescent="0.25">
      <c r="A17" s="25" t="s">
        <v>75</v>
      </c>
      <c r="B17" s="33">
        <f>'For BIDDER COMPLETION'!B33</f>
        <v>0</v>
      </c>
    </row>
    <row r="18" spans="1:2" x14ac:dyDescent="0.25">
      <c r="A18" s="25" t="s">
        <v>76</v>
      </c>
      <c r="B18" s="34" t="e">
        <f>B16/B17</f>
        <v>#DIV/0!</v>
      </c>
    </row>
    <row r="19" spans="1:2" ht="13" x14ac:dyDescent="0.3">
      <c r="A19" s="22" t="s">
        <v>77</v>
      </c>
      <c r="B19" s="35" t="e">
        <f>IF(B18&lt;=100%,1,0)</f>
        <v>#DIV/0!</v>
      </c>
    </row>
    <row r="20" spans="1:2" ht="19.5" customHeight="1" x14ac:dyDescent="0.25"/>
  </sheetData>
  <sheetProtection selectLockedCells="1" selectUnlockedCells="1"/>
  <mergeCells count="2">
    <mergeCell ref="A3:B3"/>
    <mergeCell ref="A12:B12"/>
  </mergeCells>
  <pageMargins left="0.7" right="0.7" top="0.75" bottom="0.75" header="0.3" footer="0.3"/>
  <pageSetup orientation="portrait" horizontalDpi="300" verticalDpi="300" r:id="rId1"/>
  <headerFooter>
    <oddFooter>&amp;C
© NHS Shared Business Services 2017
&amp;F</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e1522e7-1fc1-4e7c-9716-246fc43e3042">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D006C8337AA284687A3CCF8C4285AE5" ma:contentTypeVersion="12" ma:contentTypeDescription="Create a new document." ma:contentTypeScope="" ma:versionID="6cb8375f2289da293b2f96e5e06c95d5">
  <xsd:schema xmlns:xsd="http://www.w3.org/2001/XMLSchema" xmlns:xs="http://www.w3.org/2001/XMLSchema" xmlns:p="http://schemas.microsoft.com/office/2006/metadata/properties" xmlns:ns1="http://schemas.microsoft.com/sharepoint/v3" xmlns:ns2="ce1522e7-1fc1-4e7c-9716-246fc43e3042" xmlns:ns3="753d312d-eb67-49d4-bca4-47ff99b74c4c" targetNamespace="http://schemas.microsoft.com/office/2006/metadata/properties" ma:root="true" ma:fieldsID="73c2c72d49a9b358775b140d38220864" ns1:_="" ns2:_="" ns3:_="">
    <xsd:import namespace="http://schemas.microsoft.com/sharepoint/v3"/>
    <xsd:import namespace="ce1522e7-1fc1-4e7c-9716-246fc43e3042"/>
    <xsd:import namespace="753d312d-eb67-49d4-bca4-47ff99b74c4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e1522e7-1fc1-4e7c-9716-246fc43e30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53d312d-eb67-49d4-bca4-47ff99b74c4c"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79CBB76-BE34-4050-9448-E9D94EF4A47C}">
  <ds:schemaRefs>
    <ds:schemaRef ds:uri="http://schemas.microsoft.com/sharepoint/v3/contenttype/forms"/>
  </ds:schemaRefs>
</ds:datastoreItem>
</file>

<file path=customXml/itemProps2.xml><?xml version="1.0" encoding="utf-8"?>
<ds:datastoreItem xmlns:ds="http://schemas.openxmlformats.org/officeDocument/2006/customXml" ds:itemID="{D2DC2B27-4CA7-4D8B-B732-3340298E5852}">
  <ds:schemaRefs>
    <ds:schemaRef ds:uri="ce1522e7-1fc1-4e7c-9716-246fc43e3042"/>
    <ds:schemaRef ds:uri="http://purl.org/dc/elements/1.1/"/>
    <ds:schemaRef ds:uri="http://www.w3.org/XML/1998/namespace"/>
    <ds:schemaRef ds:uri="http://schemas.microsoft.com/sharepoint/v3"/>
    <ds:schemaRef ds:uri="http://schemas.microsoft.com/office/2006/metadata/properties"/>
    <ds:schemaRef ds:uri="http://schemas.microsoft.com/office/2006/documentManagement/types"/>
    <ds:schemaRef ds:uri="http://schemas.openxmlformats.org/package/2006/metadata/core-properties"/>
    <ds:schemaRef ds:uri="http://schemas.microsoft.com/office/infopath/2007/PartnerControls"/>
    <ds:schemaRef ds:uri="753d312d-eb67-49d4-bca4-47ff99b74c4c"/>
    <ds:schemaRef ds:uri="http://purl.org/dc/dcmitype/"/>
    <ds:schemaRef ds:uri="http://purl.org/dc/terms/"/>
  </ds:schemaRefs>
</ds:datastoreItem>
</file>

<file path=customXml/itemProps3.xml><?xml version="1.0" encoding="utf-8"?>
<ds:datastoreItem xmlns:ds="http://schemas.openxmlformats.org/officeDocument/2006/customXml" ds:itemID="{F56E506E-F972-4275-AAC6-388D0EA504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e1522e7-1fc1-4e7c-9716-246fc43e3042"/>
    <ds:schemaRef ds:uri="753d312d-eb67-49d4-bca4-47ff99b74c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Instructions+Scoring Criteria</vt:lpstr>
      <vt:lpstr>For BIDDER COMPLETION</vt:lpstr>
      <vt:lpstr>Calculated AGV Ratio</vt:lpstr>
      <vt:lpstr>'For BIDDER COMPLETION'!Print_Area</vt:lpstr>
      <vt:lpstr>'Instructions+Scoring Criteria'!Print_Area</vt:lpstr>
    </vt:vector>
  </TitlesOfParts>
  <Manager/>
  <Company>HP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Graham</dc:creator>
  <cp:keywords/>
  <dc:description/>
  <cp:lastModifiedBy>Jordan Hopkins</cp:lastModifiedBy>
  <cp:revision/>
  <dcterms:created xsi:type="dcterms:W3CDTF">2012-05-17T13:30:54Z</dcterms:created>
  <dcterms:modified xsi:type="dcterms:W3CDTF">2025-12-15T11:02:08Z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0x010100ED006C8337AA284687A3CCF8C4285AE5</vt:lpwstr>
  </property>
  <property fmtid="{D5CDD505-2E9C-101B-9397-08002B2CF9AE}" pid="3" name="PublishingExpirationDate">
    <vt:lpwstr/>
  </property>
  <property fmtid="{D5CDD505-2E9C-101B-9397-08002B2CF9AE}" pid="4" name="PublishingStartDate">
    <vt:lpwstr/>
  </property>
  <property fmtid="{D5CDD505-2E9C-101B-9397-08002B2CF9AE}" pid="5" name="MediaServiceImageTags">
    <vt:lpwstr/>
  </property>
  <property fmtid="{D5CDD505-2E9C-101B-9397-08002B2CF9AE}" pid="6" name="SV_QUERY_LIST_4F35BF76-6C0D-4D9B-82B2-816C12CF3733">
    <vt:lpwstr>empty_477D106A-C0D6-4607-AEBD-E2C9D60EA279</vt:lpwstr>
  </property>
  <property fmtid="{D5CDD505-2E9C-101B-9397-08002B2CF9AE}" pid="7" name="SV_HIDDEN_GRID_QUERY_LIST_4F35BF76-6C0D-4D9B-82B2-816C12CF3733">
    <vt:lpwstr>empty_477D106A-C0D6-4607-AEBD-E2C9D60EA279</vt:lpwstr>
  </property>
</Properties>
</file>