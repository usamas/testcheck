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57720" yWindow="-120" windowWidth="29040" windowHeight="15720" tabRatio="600" firstSheet="0" activeTab="0" autoFilterDateGrouping="1"/>
  </bookViews>
  <sheets>
    <sheet xmlns:r="http://schemas.openxmlformats.org/officeDocument/2006/relationships" name="Instructions+Scoring Criteria" sheetId="1" state="visible" r:id="rId1"/>
    <sheet xmlns:r="http://schemas.openxmlformats.org/officeDocument/2006/relationships" name="For BIDDER COMPLETION" sheetId="2" state="visible" r:id="rId2"/>
    <sheet xmlns:r="http://schemas.openxmlformats.org/officeDocument/2006/relationships" name="Calculated AGV Ratio" sheetId="3" state="visible" r:id="rId3"/>
  </sheets>
  <definedNames>
    <definedName name="_xlnm.Print_Area" localSheetId="0">'Instructions+Scoring Criteria'!$A$12:$D$19</definedName>
    <definedName name="_xlnm.Print_Area" localSheetId="1">'For BIDDER COMPLETION'!$A$1:$D$60</definedName>
  </definedNames>
  <calcPr calcId="191029" fullCalcOnLoad="1"/>
</workbook>
</file>

<file path=xl/styles.xml><?xml version="1.0" encoding="utf-8"?>
<styleSheet xmlns="http://schemas.openxmlformats.org/spreadsheetml/2006/main">
  <numFmts count="2">
    <numFmt numFmtId="164" formatCode="_-&quot;£&quot;* #,##0_-;\-&quot;£&quot;* #,##0_-;_-&quot;£&quot;* &quot;-&quot;??_-;_-@_-"/>
    <numFmt numFmtId="165" formatCode="0.0%"/>
  </numFmts>
  <fonts count="30">
    <font>
      <name val="Calibri"/>
      <family val="2"/>
      <color theme="1"/>
      <sz val="11"/>
      <scheme val="minor"/>
    </font>
    <font>
      <name val="Arial"/>
      <family val="2"/>
      <sz val="10"/>
    </font>
    <font>
      <name val="Arial"/>
      <family val="2"/>
      <sz val="10"/>
    </font>
    <font>
      <name val="Calibri"/>
      <family val="2"/>
      <b val="1"/>
      <color indexed="9"/>
      <sz val="11"/>
    </font>
    <font>
      <name val="Calibri"/>
      <family val="2"/>
      <sz val="8"/>
    </font>
    <font>
      <name val="Arial"/>
      <family val="2"/>
      <sz val="12"/>
    </font>
    <font>
      <name val="Arial"/>
      <family val="2"/>
      <color indexed="8"/>
      <sz val="12"/>
    </font>
    <font>
      <name val="Arial"/>
      <family val="2"/>
      <b val="1"/>
      <color indexed="8"/>
      <sz val="12"/>
      <u val="single"/>
    </font>
    <font>
      <name val="Arial"/>
      <family val="2"/>
      <b val="1"/>
      <color indexed="10"/>
      <sz val="12"/>
    </font>
    <font>
      <name val="Arial"/>
      <family val="2"/>
      <b val="1"/>
      <sz val="10"/>
    </font>
    <font>
      <name val="Arial"/>
      <family val="2"/>
      <b val="1"/>
      <sz val="12"/>
    </font>
    <font>
      <name val="Arial"/>
      <family val="2"/>
      <b val="1"/>
      <sz val="14"/>
    </font>
    <font>
      <name val="Arial"/>
      <family val="2"/>
      <color indexed="8"/>
      <sz val="10"/>
    </font>
    <font>
      <name val="Arial"/>
      <family val="2"/>
      <b val="1"/>
      <color indexed="10"/>
      <sz val="10"/>
    </font>
    <font>
      <name val="Arial"/>
      <family val="2"/>
      <b val="1"/>
      <color indexed="9"/>
      <sz val="10"/>
    </font>
    <font>
      <name val="Arial"/>
      <family val="2"/>
      <b val="1"/>
      <color indexed="10"/>
      <sz val="9"/>
    </font>
    <font>
      <name val="Arial"/>
      <family val="2"/>
      <color indexed="8"/>
      <sz val="9"/>
    </font>
    <font>
      <name val="Arial"/>
      <family val="2"/>
      <b val="1"/>
      <sz val="14"/>
      <u val="single"/>
    </font>
    <font>
      <name val="Arial"/>
      <family val="2"/>
      <b val="1"/>
      <color indexed="9"/>
      <sz val="12"/>
    </font>
    <font>
      <name val="Arial"/>
      <family val="2"/>
      <color indexed="10"/>
      <sz val="12"/>
    </font>
    <font>
      <name val="Calibri"/>
      <family val="2"/>
      <color theme="1"/>
      <sz val="11"/>
      <scheme val="minor"/>
    </font>
    <font>
      <name val="Arial"/>
      <family val="2"/>
      <color theme="1"/>
      <sz val="11"/>
    </font>
    <font>
      <name val="Arial"/>
      <family val="2"/>
      <color theme="1"/>
      <sz val="10"/>
    </font>
    <font>
      <name val="Arial"/>
      <family val="2"/>
      <b val="1"/>
      <color rgb="FFFF0000"/>
      <sz val="10"/>
    </font>
    <font>
      <name val="Arial"/>
      <family val="2"/>
      <b val="1"/>
      <color theme="1"/>
      <sz val="12"/>
    </font>
    <font>
      <name val="Arial"/>
      <family val="2"/>
      <color rgb="FFFF0000"/>
      <sz val="12"/>
    </font>
    <font>
      <name val="Arial"/>
      <family val="2"/>
      <color theme="1"/>
      <sz val="12"/>
    </font>
    <font>
      <name val="Arial"/>
      <family val="2"/>
      <b val="1"/>
      <color rgb="FFFF0000"/>
      <sz val="14"/>
      <u val="single"/>
    </font>
    <font>
      <name val="Arial"/>
      <family val="2"/>
      <b val="1"/>
      <color rgb="FFFF0000"/>
      <sz val="12"/>
    </font>
    <font>
      <name val="Arial"/>
      <family val="2"/>
      <b val="1"/>
      <color theme="0"/>
      <sz val="10"/>
      <u val="single"/>
    </font>
  </fonts>
  <fills count="11">
    <fill>
      <patternFill/>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62"/>
        <bgColor indexed="64"/>
      </patternFill>
    </fill>
    <fill>
      <patternFill patternType="solid">
        <fgColor indexed="44"/>
        <bgColor indexed="64"/>
      </patternFill>
    </fill>
    <fill>
      <patternFill patternType="solid">
        <fgColor theme="0"/>
        <bgColor indexed="64"/>
      </patternFill>
    </fill>
    <fill>
      <patternFill patternType="solid">
        <fgColor rgb="FFCCFFCC"/>
        <bgColor indexed="64"/>
      </patternFill>
    </fill>
    <fill>
      <patternFill patternType="solid">
        <fgColor theme="4"/>
        <bgColor indexed="64"/>
      </patternFill>
    </fill>
    <fill>
      <patternFill patternType="solid">
        <fgColor rgb="FFFFFF9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s>
  <cellStyleXfs count="8">
    <xf numFmtId="0" fontId="20" fillId="0" borderId="0"/>
    <xf numFmtId="43" fontId="20" fillId="0" borderId="0"/>
    <xf numFmtId="43" fontId="2" fillId="0" borderId="0"/>
    <xf numFmtId="43" fontId="2" fillId="0" borderId="0"/>
    <xf numFmtId="0" fontId="2" fillId="0" borderId="0"/>
    <xf numFmtId="0" fontId="2" fillId="0" borderId="0"/>
    <xf numFmtId="9" fontId="2" fillId="0" borderId="0"/>
    <xf numFmtId="9" fontId="2" fillId="0" borderId="0"/>
  </cellStyleXfs>
  <cellXfs count="98">
    <xf numFmtId="0" fontId="0" fillId="0" borderId="0" pivotButton="0" quotePrefix="0" xfId="0"/>
    <xf numFmtId="0" fontId="5" fillId="0" borderId="0" pivotButton="0" quotePrefix="0" xfId="4"/>
    <xf numFmtId="0" fontId="5" fillId="0" borderId="0" applyAlignment="1" pivotButton="0" quotePrefix="0" xfId="4">
      <alignment vertical="top"/>
    </xf>
    <xf numFmtId="0" fontId="5" fillId="0" borderId="0" applyAlignment="1" pivotButton="0" quotePrefix="0" xfId="4">
      <alignment vertical="top" wrapText="1"/>
    </xf>
    <xf numFmtId="0" fontId="5" fillId="2" borderId="1" applyAlignment="1" pivotButton="0" quotePrefix="0" xfId="0">
      <alignment horizontal="center" vertical="center"/>
    </xf>
    <xf numFmtId="0" fontId="5" fillId="3" borderId="1" applyAlignment="1" pivotButton="0" quotePrefix="0" xfId="0">
      <alignment horizontal="center" vertical="center"/>
    </xf>
    <xf numFmtId="0" fontId="10" fillId="0" borderId="0" pivotButton="0" quotePrefix="0" xfId="4"/>
    <xf numFmtId="0" fontId="5" fillId="0" borderId="0" applyAlignment="1" pivotButton="0" quotePrefix="0" xfId="4">
      <alignment horizontal="left" vertical="top"/>
    </xf>
    <xf numFmtId="0" fontId="7" fillId="0" borderId="0" applyAlignment="1" pivotButton="0" quotePrefix="0" xfId="0">
      <alignment vertical="top"/>
    </xf>
    <xf numFmtId="0" fontId="6" fillId="0" borderId="0" applyAlignment="1" pivotButton="0" quotePrefix="0" xfId="0">
      <alignment vertical="top" wrapText="1"/>
    </xf>
    <xf numFmtId="0" fontId="5" fillId="0" borderId="0" applyAlignment="1" pivotButton="0" quotePrefix="0" xfId="0">
      <alignment horizontal="left" vertical="center"/>
    </xf>
    <xf numFmtId="0" fontId="5" fillId="0" borderId="0" applyAlignment="1" pivotButton="0" quotePrefix="0" xfId="4">
      <alignment horizontal="center"/>
    </xf>
    <xf numFmtId="1" fontId="10" fillId="4" borderId="0" applyAlignment="1" pivotButton="0" quotePrefix="0" xfId="4">
      <alignment horizontal="center"/>
    </xf>
    <xf numFmtId="0" fontId="5" fillId="0" borderId="0" applyAlignment="1" pivotButton="0" quotePrefix="0" xfId="4">
      <alignment horizontal="left" wrapText="1"/>
    </xf>
    <xf numFmtId="0" fontId="1" fillId="0" borderId="0" applyAlignment="1" pivotButton="0" quotePrefix="0" xfId="5">
      <alignment vertical="center"/>
    </xf>
    <xf numFmtId="0" fontId="9" fillId="0" borderId="0" applyAlignment="1" pivotButton="0" quotePrefix="0" xfId="5">
      <alignment vertical="center"/>
    </xf>
    <xf numFmtId="0" fontId="1" fillId="0" borderId="2" applyAlignment="1" pivotButton="0" quotePrefix="0" xfId="4">
      <alignment horizontal="left" vertical="center" wrapText="1"/>
    </xf>
    <xf numFmtId="0" fontId="12" fillId="0" borderId="3" applyAlignment="1" pivotButton="0" quotePrefix="0" xfId="0">
      <alignment horizontal="left" vertical="center" wrapText="1"/>
    </xf>
    <xf numFmtId="0" fontId="1" fillId="0" borderId="0" applyAlignment="1" pivotButton="0" quotePrefix="0" xfId="5">
      <alignment horizontal="left" vertical="center"/>
    </xf>
    <xf numFmtId="0" fontId="9" fillId="0" borderId="0" applyAlignment="1" pivotButton="0" quotePrefix="0" xfId="5">
      <alignment horizontal="left" vertical="center"/>
    </xf>
    <xf numFmtId="0" fontId="9" fillId="0" borderId="0" applyAlignment="1" pivotButton="0" quotePrefix="0" xfId="5">
      <alignment horizontal="left" vertical="center" wrapText="1"/>
    </xf>
    <xf numFmtId="0" fontId="21" fillId="0" borderId="0" pivotButton="0" quotePrefix="0" xfId="0"/>
    <xf numFmtId="0" fontId="14" fillId="5" borderId="1" applyAlignment="1" pivotButton="0" quotePrefix="0" xfId="0">
      <alignment horizontal="left" wrapText="1"/>
    </xf>
    <xf numFmtId="0" fontId="14" fillId="5" borderId="1" applyAlignment="1" pivotButton="0" quotePrefix="0" xfId="0">
      <alignment horizontal="center" wrapText="1"/>
    </xf>
    <xf numFmtId="0" fontId="22" fillId="0" borderId="0" pivotButton="0" quotePrefix="0" xfId="0"/>
    <xf numFmtId="0" fontId="22" fillId="0" borderId="1" applyAlignment="1" pivotButton="0" quotePrefix="0" xfId="0">
      <alignment wrapText="1"/>
    </xf>
    <xf numFmtId="0" fontId="22" fillId="7" borderId="0" pivotButton="0" quotePrefix="0" xfId="0"/>
    <xf numFmtId="0" fontId="15" fillId="0" borderId="0" applyAlignment="1" pivotButton="0" quotePrefix="0" xfId="0">
      <alignment horizontal="center"/>
    </xf>
    <xf numFmtId="0" fontId="16" fillId="0" borderId="0" applyAlignment="1" pivotButton="0" quotePrefix="0" xfId="0">
      <alignment horizontal="center"/>
    </xf>
    <xf numFmtId="0" fontId="9" fillId="0" borderId="0" applyAlignment="1" pivotButton="0" quotePrefix="0" xfId="5">
      <alignment horizontal="center" vertical="center"/>
    </xf>
    <xf numFmtId="164" fontId="1" fillId="2" borderId="1" applyAlignment="1" applyProtection="1" pivotButton="0" quotePrefix="0" xfId="0">
      <alignment horizontal="center" vertical="center"/>
      <protection locked="0" hidden="0"/>
    </xf>
    <xf numFmtId="10" fontId="1" fillId="8" borderId="1" applyAlignment="1" applyProtection="1" pivotButton="0" quotePrefix="0" xfId="0">
      <alignment horizontal="right" vertical="center"/>
      <protection locked="0" hidden="0"/>
    </xf>
    <xf numFmtId="164" fontId="22" fillId="8" borderId="1" applyAlignment="1" pivotButton="0" quotePrefix="0" xfId="1">
      <alignment horizontal="center"/>
    </xf>
    <xf numFmtId="164" fontId="1" fillId="8" borderId="1" applyAlignment="1" applyProtection="1" pivotButton="0" quotePrefix="0" xfId="0">
      <alignment horizontal="center" vertical="center"/>
      <protection locked="0" hidden="0"/>
    </xf>
    <xf numFmtId="165" fontId="22" fillId="8" borderId="1" applyAlignment="1" pivotButton="0" quotePrefix="0" xfId="1">
      <alignment horizontal="right"/>
    </xf>
    <xf numFmtId="0" fontId="14" fillId="5" borderId="1" applyAlignment="1" pivotButton="0" quotePrefix="0" xfId="0">
      <alignment horizontal="right" wrapText="1"/>
    </xf>
    <xf numFmtId="2" fontId="9" fillId="3" borderId="1" applyAlignment="1" pivotButton="0" quotePrefix="0" xfId="0">
      <alignment horizontal="right" vertical="center"/>
    </xf>
    <xf numFmtId="164" fontId="9" fillId="3" borderId="1" applyAlignment="1" pivotButton="0" quotePrefix="0" xfId="0">
      <alignment horizontal="right" vertical="center"/>
    </xf>
    <xf numFmtId="165" fontId="9" fillId="3" borderId="1" applyAlignment="1" pivotButton="0" quotePrefix="0" xfId="0">
      <alignment horizontal="right" vertical="center"/>
    </xf>
    <xf numFmtId="0" fontId="23" fillId="0" borderId="1" applyAlignment="1" pivotButton="0" quotePrefix="0" xfId="5">
      <alignment horizontal="left" vertical="center" wrapText="1"/>
    </xf>
    <xf numFmtId="0" fontId="23" fillId="0" borderId="1" applyAlignment="1" pivotButton="0" quotePrefix="0" xfId="0">
      <alignment wrapText="1"/>
    </xf>
    <xf numFmtId="165" fontId="1" fillId="2" borderId="1" applyAlignment="1" applyProtection="1" pivotButton="0" quotePrefix="0" xfId="0">
      <alignment horizontal="right" vertical="center"/>
      <protection locked="0" hidden="0"/>
    </xf>
    <xf numFmtId="0" fontId="1" fillId="0" borderId="0" applyAlignment="1" pivotButton="0" quotePrefix="0" xfId="4">
      <alignment horizontal="left" vertical="center" wrapText="1"/>
    </xf>
    <xf numFmtId="0" fontId="12" fillId="0" borderId="0" applyAlignment="1" pivotButton="0" quotePrefix="0" xfId="0">
      <alignment horizontal="left" vertical="center" wrapText="1"/>
    </xf>
    <xf numFmtId="0" fontId="24" fillId="0" borderId="0" pivotButton="0" quotePrefix="0" xfId="0"/>
    <xf numFmtId="0" fontId="25" fillId="0" borderId="0" applyAlignment="1" pivotButton="0" quotePrefix="0" xfId="0">
      <alignment horizontal="left" vertical="center"/>
    </xf>
    <xf numFmtId="0" fontId="14" fillId="9" borderId="1" applyAlignment="1" pivotButton="0" quotePrefix="0" xfId="4">
      <alignment horizontal="left" vertical="center" wrapText="1"/>
    </xf>
    <xf numFmtId="0" fontId="14" fillId="9" borderId="1" applyAlignment="1" pivotButton="0" quotePrefix="0" xfId="4">
      <alignment horizontal="center" vertical="center" wrapText="1"/>
    </xf>
    <xf numFmtId="0" fontId="3" fillId="9" borderId="1" applyAlignment="1" pivotButton="0" quotePrefix="0" xfId="4">
      <alignment horizontal="left" vertical="center" wrapText="1"/>
    </xf>
    <xf numFmtId="0" fontId="13" fillId="0" borderId="0" applyAlignment="1" pivotButton="0" quotePrefix="0" xfId="5">
      <alignment horizontal="right" vertical="center"/>
    </xf>
    <xf numFmtId="0" fontId="10" fillId="0" borderId="0" applyAlignment="1" pivotButton="0" quotePrefix="0" xfId="5">
      <alignment horizontal="left" vertical="center"/>
    </xf>
    <xf numFmtId="0" fontId="17" fillId="0" borderId="0" pivotButton="0" quotePrefix="0" xfId="4"/>
    <xf numFmtId="0" fontId="5" fillId="0" borderId="0" applyAlignment="1" pivotButton="0" quotePrefix="0" xfId="4">
      <alignment horizontal="center" vertical="center"/>
    </xf>
    <xf numFmtId="0" fontId="18" fillId="9" borderId="1" applyAlignment="1" pivotButton="0" quotePrefix="0" xfId="0">
      <alignment horizontal="center" vertical="center"/>
    </xf>
    <xf numFmtId="0" fontId="18" fillId="9" borderId="1"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26" fillId="0" borderId="1" applyAlignment="1" pivotButton="0" quotePrefix="0" xfId="0">
      <alignment horizontal="center" vertical="center"/>
    </xf>
    <xf numFmtId="164" fontId="23" fillId="6" borderId="1" applyAlignment="1" pivotButton="0" quotePrefix="0" xfId="1">
      <alignment horizontal="left" vertical="center" wrapText="1"/>
    </xf>
    <xf numFmtId="0" fontId="27" fillId="0" borderId="0" applyAlignment="1" pivotButton="0" quotePrefix="0" xfId="4">
      <alignment vertical="top"/>
    </xf>
    <xf numFmtId="0" fontId="9" fillId="3" borderId="1" applyAlignment="1" pivotButton="0" quotePrefix="0" xfId="0">
      <alignment horizontal="center" vertical="center"/>
    </xf>
    <xf numFmtId="1" fontId="9" fillId="3" borderId="1" applyAlignment="1" pivotButton="0" quotePrefix="0" xfId="0">
      <alignment horizontal="center" vertical="center"/>
    </xf>
    <xf numFmtId="164" fontId="23" fillId="2" borderId="1" applyAlignment="1" applyProtection="1" pivotButton="0" quotePrefix="0" xfId="0">
      <alignment horizontal="center" vertical="center" wrapText="1"/>
      <protection locked="0" hidden="0"/>
    </xf>
    <xf numFmtId="0" fontId="25" fillId="0" borderId="0" applyAlignment="1" pivotButton="0" quotePrefix="0" xfId="4">
      <alignment horizontal="left" vertical="top" wrapText="1"/>
    </xf>
    <xf numFmtId="0" fontId="25" fillId="0" borderId="0" applyAlignment="1" pivotButton="0" quotePrefix="0" xfId="0">
      <alignment horizontal="left" vertical="top" wrapText="1"/>
    </xf>
    <xf numFmtId="0" fontId="6" fillId="0" borderId="0" applyAlignment="1" pivotButton="0" quotePrefix="0" xfId="0">
      <alignment horizontal="left" vertical="top" wrapText="1"/>
    </xf>
    <xf numFmtId="0" fontId="17" fillId="0" borderId="0" applyAlignment="1" pivotButton="0" quotePrefix="0" xfId="4">
      <alignment horizontal="left" vertical="top"/>
    </xf>
    <xf numFmtId="0" fontId="5" fillId="0" borderId="0" applyAlignment="1" pivotButton="0" quotePrefix="0" xfId="4">
      <alignment horizontal="left" vertical="top" wrapText="1"/>
    </xf>
    <xf numFmtId="0" fontId="18" fillId="9" borderId="4" applyAlignment="1" pivotButton="0" quotePrefix="0" xfId="0">
      <alignment horizontal="center" vertical="center"/>
    </xf>
    <xf numFmtId="0" fontId="18" fillId="9" borderId="5" applyAlignment="1" pivotButton="0" quotePrefix="0" xfId="0">
      <alignment horizontal="center" vertical="center"/>
    </xf>
    <xf numFmtId="0" fontId="18" fillId="9" borderId="6" applyAlignment="1" pivotButton="0" quotePrefix="0" xfId="0">
      <alignment horizontal="center" vertical="center"/>
    </xf>
    <xf numFmtId="0" fontId="11" fillId="0" borderId="0" applyAlignment="1" pivotButton="0" quotePrefix="0" xfId="5">
      <alignment horizontal="center" vertical="center"/>
    </xf>
    <xf numFmtId="0" fontId="28" fillId="10" borderId="4" applyAlignment="1" applyProtection="1" pivotButton="0" quotePrefix="0" xfId="5">
      <alignment horizontal="center" vertical="center"/>
      <protection locked="0" hidden="0"/>
    </xf>
    <xf numFmtId="0" fontId="28" fillId="10" borderId="5" applyAlignment="1" applyProtection="1" pivotButton="0" quotePrefix="0" xfId="5">
      <alignment horizontal="center" vertical="center"/>
      <protection locked="0" hidden="0"/>
    </xf>
    <xf numFmtId="0" fontId="28" fillId="10" borderId="6" applyAlignment="1" applyProtection="1" pivotButton="0" quotePrefix="0" xfId="5">
      <alignment horizontal="center" vertical="center"/>
      <protection locked="0" hidden="0"/>
    </xf>
    <xf numFmtId="0" fontId="29" fillId="9" borderId="7" applyAlignment="1" pivotButton="0" quotePrefix="0" xfId="5">
      <alignment horizontal="left" vertical="center"/>
    </xf>
    <xf numFmtId="0" fontId="29" fillId="9" borderId="5" applyAlignment="1" pivotButton="0" quotePrefix="0" xfId="5">
      <alignment horizontal="left" vertical="center"/>
    </xf>
    <xf numFmtId="0" fontId="29" fillId="9" borderId="6" applyAlignment="1" pivotButton="0" quotePrefix="0" xfId="5">
      <alignment horizontal="left" vertical="center"/>
    </xf>
    <xf numFmtId="0" fontId="29" fillId="9" borderId="4" applyAlignment="1" pivotButton="0" quotePrefix="0" xfId="5">
      <alignment horizontal="left" vertical="center"/>
    </xf>
    <xf numFmtId="0" fontId="14" fillId="9" borderId="4" applyAlignment="1" pivotButton="0" quotePrefix="0" xfId="4">
      <alignment horizontal="left" vertical="center" wrapText="1"/>
    </xf>
    <xf numFmtId="0" fontId="14" fillId="9" borderId="6" applyAlignment="1" pivotButton="0" quotePrefix="0" xfId="4">
      <alignment horizontal="left" vertical="center" wrapText="1"/>
    </xf>
    <xf numFmtId="0" fontId="9" fillId="10" borderId="4" applyAlignment="1" applyProtection="1" pivotButton="0" quotePrefix="0" xfId="5">
      <alignment horizontal="center" vertical="center" wrapText="1"/>
      <protection locked="0" hidden="0"/>
    </xf>
    <xf numFmtId="0" fontId="9" fillId="10" borderId="6" applyAlignment="1" applyProtection="1" pivotButton="0" quotePrefix="0" xfId="5">
      <alignment horizontal="center" vertical="center" wrapText="1"/>
      <protection locked="0" hidden="0"/>
    </xf>
    <xf numFmtId="0" fontId="29" fillId="9" borderId="8" applyAlignment="1" pivotButton="0" quotePrefix="0" xfId="5">
      <alignment horizontal="left" vertical="center"/>
    </xf>
    <xf numFmtId="0" fontId="9" fillId="0" borderId="4" applyAlignment="1" pivotButton="0" quotePrefix="0" xfId="0">
      <alignment horizontal="left" wrapText="1"/>
    </xf>
    <xf numFmtId="0" fontId="9" fillId="0" borderId="6" applyAlignment="1" pivotButton="0" quotePrefix="0" xfId="0">
      <alignment horizontal="left" wrapText="1"/>
    </xf>
    <xf numFmtId="0" fontId="0" fillId="0" borderId="5" pivotButton="0" quotePrefix="0" xfId="0"/>
    <xf numFmtId="0" fontId="0" fillId="0" borderId="6" pivotButton="0" quotePrefix="0" xfId="0"/>
    <xf numFmtId="0" fontId="28" fillId="10" borderId="1" applyAlignment="1" applyProtection="1" pivotButton="0" quotePrefix="0" xfId="5">
      <alignment horizontal="center" vertic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29" fillId="9" borderId="1" applyAlignment="1" pivotButton="0" quotePrefix="0" xfId="5">
      <alignment horizontal="left" vertical="center"/>
    </xf>
    <xf numFmtId="0" fontId="9" fillId="10" borderId="1" applyAlignment="1" applyProtection="1" pivotButton="0" quotePrefix="0" xfId="5">
      <alignment horizontal="center" vertical="center" wrapText="1"/>
      <protection locked="0" hidden="0"/>
    </xf>
    <xf numFmtId="0" fontId="29" fillId="9" borderId="2" applyAlignment="1" pivotButton="0" quotePrefix="0" xfId="5">
      <alignment horizontal="left" vertical="center"/>
    </xf>
    <xf numFmtId="0" fontId="29" fillId="9" borderId="11" applyAlignment="1" pivotButton="0" quotePrefix="0" xfId="5">
      <alignment horizontal="left" vertical="center"/>
    </xf>
    <xf numFmtId="0" fontId="0" fillId="0" borderId="8" pivotButton="0" quotePrefix="0" xfId="0"/>
    <xf numFmtId="0" fontId="9" fillId="0" borderId="1" applyAlignment="1" pivotButton="0" quotePrefix="0" xfId="0">
      <alignment horizontal="left" wrapText="1"/>
    </xf>
  </cellXfs>
  <cellStyles count="8">
    <cellStyle name="Normal" xfId="0" builtinId="0"/>
    <cellStyle name="Comma" xfId="1" builtinId="3"/>
    <cellStyle name="Comma 2" xfId="2"/>
    <cellStyle name="Comma 3" xfId="3"/>
    <cellStyle name="Normal 2" xfId="4"/>
    <cellStyle name="Normal 3" xfId="5"/>
    <cellStyle name="Percent 2" xfId="6"/>
    <cellStyle name="Percent 3" xfId="7"/>
  </cellStyles>
  <dxfs count="3">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fitToPage="1"/>
  </sheetPr>
  <dimension ref="A1:H127"/>
  <sheetViews>
    <sheetView showGridLines="0" tabSelected="1" zoomScale="70" zoomScaleNormal="70" zoomScaleSheetLayoutView="100" workbookViewId="0">
      <selection activeCell="J18" sqref="J18"/>
    </sheetView>
  </sheetViews>
  <sheetFormatPr baseColWidth="8" defaultColWidth="19.453125" defaultRowHeight="15.5"/>
  <cols>
    <col width="6.453125" customWidth="1" style="1" min="1" max="1"/>
    <col width="24" customWidth="1" style="11" min="2" max="2"/>
    <col width="14.7265625" customWidth="1" style="12" min="3" max="3"/>
    <col width="22.54296875" customWidth="1" style="13" min="4" max="4"/>
    <col width="10.81640625" customWidth="1" style="1" min="5" max="6"/>
    <col width="11.81640625" customWidth="1" style="1" min="7" max="7"/>
    <col width="11.1796875" customWidth="1" style="1" min="8" max="8"/>
    <col width="9.1796875" customWidth="1" style="1" min="9" max="244"/>
    <col width="35.453125" bestFit="1" customWidth="1" style="1" min="245" max="245"/>
    <col width="17.7265625" customWidth="1" style="1" min="246" max="253"/>
    <col width="18.1796875" customWidth="1" style="1" min="254" max="254"/>
    <col width="17.453125" customWidth="1" style="1" min="255" max="255"/>
    <col width="19.453125" customWidth="1" style="1" min="256" max="16384"/>
  </cols>
  <sheetData>
    <row r="1" ht="18" customHeight="1">
      <c r="A1" s="51" t="inlineStr">
        <is>
          <t>(2) Financial Ratio Template</t>
        </is>
      </c>
    </row>
    <row r="3" ht="23.25" customHeight="1">
      <c r="A3" s="6" t="n"/>
      <c r="B3" s="60" t="inlineStr">
        <is>
          <t>INSTRUCTIONS</t>
        </is>
      </c>
      <c r="C3" s="60" t="n"/>
      <c r="D3" s="60" t="n"/>
    </row>
    <row r="4" ht="34.5" customHeight="1">
      <c r="A4" s="2" t="n">
        <v>1</v>
      </c>
      <c r="B4" s="65" t="inlineStr">
        <is>
          <t>Each Bidder and Bidder Member must complete a separate Financial Ratio template for submission along with their completed Selection Questionnaire.</t>
        </is>
      </c>
    </row>
    <row r="5" ht="38.25" customHeight="1">
      <c r="A5" s="2" t="n">
        <v>2</v>
      </c>
      <c r="B5" s="64" t="inlineStr">
        <is>
          <t>Bidders / Bidder Members are to input information within the YELLOW coloured cells on the next worksheet tab entitled "for Bidder Completion"</t>
        </is>
      </c>
    </row>
    <row r="6">
      <c r="A6" s="2" t="n"/>
      <c r="B6" s="68" t="n"/>
    </row>
    <row r="7">
      <c r="A7" s="8" t="inlineStr">
        <is>
          <t>Colour Guide to Cells and tabs</t>
        </is>
      </c>
      <c r="B7" s="1" t="n"/>
      <c r="C7" s="9" t="n"/>
      <c r="D7" s="9" t="n"/>
    </row>
    <row r="8" ht="20.25" customHeight="1">
      <c r="A8" s="4" t="n"/>
      <c r="B8" s="45" t="inlineStr">
        <is>
          <t>Cells to be completed by Bidder/Bidder Member</t>
        </is>
      </c>
      <c r="C8" s="9" t="n"/>
      <c r="D8" s="9" t="n"/>
    </row>
    <row r="9" ht="19.5" customHeight="1">
      <c r="A9" s="5" t="n"/>
      <c r="B9" s="10" t="inlineStr">
        <is>
          <t>Contracting Authority formula or calculation using information input by the Bidder/Bidder Member</t>
        </is>
      </c>
      <c r="C9" s="9" t="n"/>
      <c r="D9" s="9" t="n"/>
    </row>
    <row r="10" ht="18.75" customHeight="1">
      <c r="A10" s="48" t="inlineStr">
        <is>
          <t xml:space="preserve"> </t>
        </is>
      </c>
      <c r="B10" s="10" t="inlineStr">
        <is>
          <t>Headings only, no inputs required or calculations made</t>
        </is>
      </c>
      <c r="C10" s="9" t="n"/>
      <c r="D10" s="9" t="n"/>
    </row>
    <row r="12" ht="21.75" customFormat="1" customHeight="1" s="6">
      <c r="B12" s="67" t="inlineStr">
        <is>
          <t>NOTES</t>
        </is>
      </c>
    </row>
    <row r="13" ht="49.5" customFormat="1" customHeight="1" s="2">
      <c r="A13" s="2" t="inlineStr">
        <is>
          <t>a)</t>
        </is>
      </c>
      <c r="B13" s="66" t="inlineStr">
        <is>
          <t xml:space="preserve">The Contracting Authority will evaluate the latest set of financial statements and only refer to the previous years’ information where the lead bidder or a bidder member scores two zeros against the latest year, in order to make a balanced assessment of the potential financial risk associated with the bidder. </t>
        </is>
      </c>
    </row>
    <row r="14" ht="53.25" customFormat="1" customHeight="1" s="3">
      <c r="A14" s="3" t="inlineStr">
        <is>
          <t>b)</t>
        </is>
      </c>
      <c r="B14" s="66" t="inlineStr">
        <is>
          <t xml:space="preserve">The information from the financial statements will be used to perform the ratios on the attached template. Each of the ratio calculations will be scored using a scale of 0 to 1, in accordance with the Scoring Matrix shown in the attached sheet.
</t>
        </is>
      </c>
    </row>
    <row r="15" ht="42.75" customFormat="1" customHeight="1" s="2">
      <c r="A15" s="2" t="inlineStr">
        <is>
          <t>c)</t>
        </is>
      </c>
      <c r="B15" s="66" t="inlineStr">
        <is>
          <t>Bidders/Bidder Members will pass subject to achieving no more than one score of 0 across the measures used.  The Scoring Criteria is outlined below.</t>
        </is>
      </c>
    </row>
    <row r="16" ht="74.25" customFormat="1" customHeight="1" s="2">
      <c r="A16" s="2" t="inlineStr">
        <is>
          <t>d)</t>
        </is>
      </c>
      <c r="B16" s="66" t="inlineStr">
        <is>
          <t xml:space="preserve">A Bidder/Bidder Member with two or more scores of 0 across the measures used to assess the financial statements based on the latest set of financial statements may fail. The Contracting Authority will then also evaluate the previous years’ information in order to make a balanced assessment of the potential financial risk associated with the bidder. </t>
        </is>
      </c>
    </row>
    <row r="17" ht="53.25" customFormat="1" customHeight="1" s="2">
      <c r="A17" s="2" t="inlineStr">
        <is>
          <t>e)</t>
        </is>
      </c>
      <c r="B17" s="66" t="inlineStr">
        <is>
          <t>Credit reports of Bidders/Bidder Members (and their Parent Company if applicable) may be obtained and reviewed, if necessary, to support the financial risk assessment in this part of the evaluation. This will only be considered as secondary to the Assessment of the Financial Statements.</t>
        </is>
      </c>
    </row>
    <row r="18" ht="63" customFormat="1" customHeight="1" s="2">
      <c r="A18" s="2" t="inlineStr">
        <is>
          <t>f)</t>
        </is>
      </c>
      <c r="B18" s="68" t="inlineStr">
        <is>
          <t xml:space="preserve">Contract Guidance Value:  For the purposes of this calculation a guideline value of £7,738,000 will be used. This will then be divided by the Annual Turnover of the Bidder/Bidder Member and expressed as a percentage. </t>
        </is>
      </c>
    </row>
    <row r="19" ht="42" customFormat="1" customHeight="1" s="2">
      <c r="A19" s="2" t="inlineStr">
        <is>
          <t>g)</t>
        </is>
      </c>
      <c r="B19" s="68" t="inlineStr">
        <is>
          <t>Bidders/Bidder Members are required to complete this information accurately and in accordance with copy accounts documentation provided.</t>
        </is>
      </c>
    </row>
    <row r="20" ht="22.5" customHeight="1">
      <c r="B20" s="67" t="inlineStr">
        <is>
          <t>SCORING CRITERIA</t>
        </is>
      </c>
    </row>
    <row r="21" customFormat="1" s="52">
      <c r="B21" s="53" t="inlineStr">
        <is>
          <t>Ratio / Measure</t>
        </is>
      </c>
      <c r="C21" s="87" t="n"/>
      <c r="D21" s="87" t="n"/>
      <c r="E21" s="87" t="n"/>
      <c r="F21" s="87" t="n"/>
      <c r="G21" s="87" t="n"/>
      <c r="H21" s="88" t="n"/>
    </row>
    <row r="22" ht="62" customFormat="1" customHeight="1" s="52">
      <c r="B22" s="53" t="inlineStr">
        <is>
          <t>Score</t>
        </is>
      </c>
      <c r="C22" s="54" t="inlineStr">
        <is>
          <t>Current Ratio</t>
        </is>
      </c>
      <c r="D22" s="54" t="inlineStr">
        <is>
          <t>Net Assets</t>
        </is>
      </c>
      <c r="E22" s="54" t="inlineStr">
        <is>
          <t>Capital Gearing</t>
        </is>
      </c>
      <c r="F22" s="54" t="inlineStr">
        <is>
          <t>ROCE</t>
        </is>
      </c>
      <c r="G22" s="54" t="inlineStr">
        <is>
          <t>Annual Guidance Value Ratio</t>
        </is>
      </c>
      <c r="H22" s="54" t="inlineStr">
        <is>
          <t>Net Profit Margin</t>
        </is>
      </c>
    </row>
    <row r="23" ht="25.5" customFormat="1" customHeight="1" s="52">
      <c r="B23" s="55" t="n">
        <v>1</v>
      </c>
      <c r="C23" s="56" t="inlineStr">
        <is>
          <t>&gt; = 0.8:1</t>
        </is>
      </c>
      <c r="D23" s="56" t="inlineStr">
        <is>
          <t>&gt; = £0m</t>
        </is>
      </c>
      <c r="E23" s="56" t="inlineStr">
        <is>
          <t>&lt; = 100%</t>
        </is>
      </c>
      <c r="F23" s="57" t="inlineStr">
        <is>
          <t>&gt; = 0%</t>
        </is>
      </c>
      <c r="G23" s="57" t="inlineStr">
        <is>
          <t>&lt; = 100%</t>
        </is>
      </c>
      <c r="H23" s="57" t="inlineStr">
        <is>
          <t>&gt; = 0%</t>
        </is>
      </c>
    </row>
    <row r="24" ht="36" customFormat="1" customHeight="1" s="52">
      <c r="B24" s="55" t="n">
        <v>0</v>
      </c>
      <c r="C24" s="56" t="inlineStr">
        <is>
          <t>&lt; 0.8:1</t>
        </is>
      </c>
      <c r="D24" s="56" t="inlineStr">
        <is>
          <t>&lt; £0m</t>
        </is>
      </c>
      <c r="E24" s="57" t="inlineStr">
        <is>
          <t>&lt; 0% or &gt; 100%</t>
        </is>
      </c>
      <c r="F24" s="56" t="inlineStr">
        <is>
          <t>&lt; 0%</t>
        </is>
      </c>
      <c r="G24" s="56" t="inlineStr">
        <is>
          <t>&gt; 100%</t>
        </is>
      </c>
      <c r="H24" s="58" t="inlineStr">
        <is>
          <t>&lt; 0%</t>
        </is>
      </c>
    </row>
    <row r="25">
      <c r="B25" s="27" t="n"/>
      <c r="C25" s="28" t="n"/>
      <c r="D25" s="28" t="n"/>
      <c r="E25" s="28" t="n"/>
      <c r="F25" s="28" t="n"/>
      <c r="G25" s="28" t="n"/>
      <c r="H25" s="21" t="n"/>
    </row>
    <row r="26" ht="23.25" customHeight="1">
      <c r="B26" s="66" t="n"/>
    </row>
    <row r="27" ht="55.5" customHeight="1">
      <c r="B27" s="66" t="n"/>
    </row>
    <row r="28" ht="28.5" customHeight="1">
      <c r="B28" s="66" t="n"/>
    </row>
    <row r="29" ht="18.75" customHeight="1">
      <c r="B29" s="1" t="n"/>
      <c r="C29" s="9" t="n"/>
      <c r="D29" s="9" t="n"/>
    </row>
    <row r="30">
      <c r="A30" s="7" t="n"/>
      <c r="B30" s="9" t="n"/>
      <c r="C30" s="9" t="n"/>
      <c r="D30" s="9" t="n"/>
    </row>
    <row r="31">
      <c r="A31" s="7" t="n"/>
      <c r="B31" s="9" t="n"/>
      <c r="C31" s="9" t="n"/>
      <c r="D31" s="9" t="n"/>
    </row>
    <row r="32">
      <c r="A32" s="7" t="n"/>
      <c r="B32" s="9" t="n"/>
      <c r="C32" s="9" t="n"/>
      <c r="D32" s="9" t="n"/>
    </row>
    <row r="33">
      <c r="A33" s="7" t="n"/>
      <c r="B33" s="9" t="n"/>
      <c r="C33" s="9" t="n"/>
      <c r="D33" s="9" t="n"/>
    </row>
    <row r="34">
      <c r="A34" s="7" t="n"/>
      <c r="B34" s="9" t="n"/>
      <c r="C34" s="9" t="n"/>
      <c r="D34" s="9" t="n"/>
    </row>
    <row r="35">
      <c r="A35" s="7" t="n"/>
      <c r="B35" s="9" t="n"/>
      <c r="C35" s="9" t="n"/>
      <c r="D35" s="9" t="n"/>
    </row>
    <row r="36">
      <c r="A36" s="7" t="n"/>
      <c r="B36" s="9" t="n"/>
      <c r="C36" s="9" t="n"/>
      <c r="D36" s="9" t="n"/>
    </row>
    <row r="37">
      <c r="A37" s="7" t="n"/>
      <c r="B37" s="9" t="n"/>
      <c r="C37" s="9" t="n"/>
      <c r="D37" s="9" t="n"/>
    </row>
    <row r="38">
      <c r="A38" s="7" t="n"/>
      <c r="B38" s="9" t="n"/>
      <c r="C38" s="9" t="n"/>
      <c r="D38" s="9" t="n"/>
    </row>
    <row r="39">
      <c r="A39" s="7" t="n"/>
      <c r="B39" s="9" t="n"/>
      <c r="C39" s="9" t="n"/>
      <c r="D39" s="9" t="n"/>
    </row>
    <row r="40">
      <c r="A40" s="7" t="n"/>
      <c r="B40" s="9" t="n"/>
      <c r="C40" s="9" t="n"/>
      <c r="D40" s="9" t="n"/>
    </row>
    <row r="41">
      <c r="A41" s="7" t="n"/>
      <c r="B41" s="9" t="n"/>
      <c r="C41" s="9" t="n"/>
      <c r="D41" s="9" t="n"/>
    </row>
    <row r="42">
      <c r="A42" s="7" t="n"/>
      <c r="B42" s="9" t="n"/>
      <c r="C42" s="9" t="n"/>
      <c r="D42" s="9" t="n"/>
    </row>
    <row r="43">
      <c r="A43" s="7" t="n"/>
      <c r="B43" s="9" t="n"/>
      <c r="C43" s="9" t="n"/>
      <c r="D43" s="9" t="n"/>
    </row>
    <row r="44">
      <c r="A44" s="7" t="n"/>
      <c r="B44" s="9" t="n"/>
      <c r="C44" s="9" t="n"/>
      <c r="D44" s="9" t="n"/>
    </row>
    <row r="45">
      <c r="A45" s="7" t="n"/>
      <c r="B45" s="9" t="n"/>
      <c r="C45" s="9" t="n"/>
      <c r="D45" s="9" t="n"/>
    </row>
    <row r="46">
      <c r="A46" s="7" t="n"/>
      <c r="B46" s="9" t="n"/>
      <c r="C46" s="9" t="n"/>
      <c r="D46" s="9" t="n"/>
    </row>
    <row r="47">
      <c r="A47" s="7" t="n"/>
      <c r="B47" s="9" t="n"/>
      <c r="C47" s="9" t="n"/>
      <c r="D47" s="9" t="n"/>
    </row>
    <row r="48">
      <c r="A48" s="7" t="n"/>
      <c r="B48" s="9" t="n"/>
      <c r="C48" s="9" t="n"/>
      <c r="D48" s="9" t="n"/>
    </row>
    <row r="49">
      <c r="A49" s="7" t="n"/>
      <c r="B49" s="9" t="n"/>
      <c r="C49" s="9" t="n"/>
      <c r="D49" s="9" t="n"/>
    </row>
    <row r="50">
      <c r="A50" s="7" t="n"/>
      <c r="B50" s="9" t="n"/>
      <c r="C50" s="9" t="n"/>
      <c r="D50" s="9" t="n"/>
    </row>
    <row r="51">
      <c r="A51" s="7" t="n"/>
      <c r="B51" s="9" t="n"/>
      <c r="C51" s="9" t="n"/>
      <c r="D51" s="9" t="n"/>
    </row>
    <row r="52">
      <c r="A52" s="7" t="n"/>
      <c r="B52" s="9" t="n"/>
      <c r="C52" s="9" t="n"/>
      <c r="D52" s="9" t="n"/>
    </row>
    <row r="53">
      <c r="A53" s="7" t="n"/>
      <c r="B53" s="9" t="n"/>
      <c r="C53" s="9" t="n"/>
      <c r="D53" s="9" t="n"/>
    </row>
    <row r="54">
      <c r="A54" s="7" t="n"/>
      <c r="B54" s="9" t="n"/>
      <c r="C54" s="9" t="n"/>
      <c r="D54" s="9" t="n"/>
    </row>
    <row r="55">
      <c r="A55" s="7" t="n"/>
      <c r="B55" s="9" t="n"/>
      <c r="C55" s="9" t="n"/>
      <c r="D55" s="9" t="n"/>
    </row>
    <row r="56">
      <c r="A56" s="7" t="n"/>
      <c r="B56" s="9" t="n"/>
      <c r="C56" s="9" t="n"/>
      <c r="D56" s="9" t="n"/>
    </row>
    <row r="57">
      <c r="A57" s="7" t="n"/>
      <c r="B57" s="9" t="n"/>
      <c r="C57" s="9" t="n"/>
      <c r="D57" s="9" t="n"/>
    </row>
    <row r="58">
      <c r="A58" s="7" t="n"/>
      <c r="B58" s="9" t="n"/>
      <c r="C58" s="9" t="n"/>
      <c r="D58" s="9" t="n"/>
    </row>
    <row r="59">
      <c r="A59" s="7" t="n"/>
      <c r="B59" s="9" t="n"/>
      <c r="C59" s="9" t="n"/>
      <c r="D59" s="9" t="n"/>
    </row>
    <row r="60">
      <c r="A60" s="7" t="n"/>
      <c r="B60" s="9" t="n"/>
      <c r="C60" s="9" t="n"/>
      <c r="D60" s="9" t="n"/>
    </row>
    <row r="61">
      <c r="A61" s="7" t="n"/>
      <c r="B61" s="9" t="n"/>
      <c r="C61" s="9" t="n"/>
      <c r="D61" s="9" t="n"/>
    </row>
    <row r="62">
      <c r="A62" s="7" t="n"/>
      <c r="B62" s="9" t="n"/>
      <c r="C62" s="9" t="n"/>
      <c r="D62" s="9" t="n"/>
    </row>
    <row r="63">
      <c r="A63" s="7" t="n"/>
      <c r="B63" s="9" t="n"/>
      <c r="C63" s="9" t="n"/>
      <c r="D63" s="9" t="n"/>
    </row>
    <row r="64">
      <c r="A64" s="7" t="n"/>
      <c r="B64" s="9" t="n"/>
      <c r="C64" s="9" t="n"/>
      <c r="D64" s="9" t="n"/>
    </row>
    <row r="65">
      <c r="A65" s="7" t="n"/>
      <c r="B65" s="9" t="n"/>
      <c r="C65" s="9" t="n"/>
      <c r="D65" s="9" t="n"/>
    </row>
    <row r="66">
      <c r="A66" s="7" t="n"/>
      <c r="B66" s="9" t="n"/>
      <c r="C66" s="9" t="n"/>
      <c r="D66" s="9" t="n"/>
    </row>
    <row r="67">
      <c r="A67" s="7" t="n"/>
      <c r="B67" s="9" t="n"/>
      <c r="C67" s="9" t="n"/>
      <c r="D67" s="9" t="n"/>
    </row>
    <row r="68">
      <c r="A68" s="7" t="n"/>
      <c r="B68" s="9" t="n"/>
      <c r="C68" s="9" t="n"/>
      <c r="D68" s="9" t="n"/>
    </row>
    <row r="69">
      <c r="A69" s="7" t="n"/>
      <c r="B69" s="9" t="n"/>
      <c r="C69" s="9" t="n"/>
      <c r="D69" s="9" t="n"/>
    </row>
    <row r="70">
      <c r="A70" s="7" t="n"/>
      <c r="B70" s="9" t="n"/>
      <c r="C70" s="9" t="n"/>
      <c r="D70" s="9" t="n"/>
    </row>
    <row r="71">
      <c r="A71" s="7" t="n"/>
      <c r="B71" s="9" t="n"/>
      <c r="C71" s="9" t="n"/>
      <c r="D71" s="9" t="n"/>
    </row>
    <row r="72">
      <c r="A72" s="7" t="n"/>
      <c r="B72" s="9" t="n"/>
      <c r="C72" s="9" t="n"/>
      <c r="D72" s="9" t="n"/>
    </row>
    <row r="73">
      <c r="A73" s="7" t="n"/>
      <c r="B73" s="9" t="n"/>
      <c r="C73" s="9" t="n"/>
      <c r="D73" s="9" t="n"/>
    </row>
    <row r="74">
      <c r="A74" s="7" t="n"/>
      <c r="B74" s="9" t="n"/>
      <c r="C74" s="9" t="n"/>
      <c r="D74" s="9" t="n"/>
    </row>
    <row r="75">
      <c r="A75" s="7" t="n"/>
      <c r="B75" s="9" t="n"/>
      <c r="C75" s="9" t="n"/>
      <c r="D75" s="9" t="n"/>
    </row>
    <row r="76">
      <c r="A76" s="7" t="n"/>
      <c r="B76" s="9" t="n"/>
      <c r="C76" s="9" t="n"/>
      <c r="D76" s="9" t="n"/>
    </row>
    <row r="77">
      <c r="A77" s="7" t="n"/>
      <c r="B77" s="9" t="n"/>
      <c r="C77" s="9" t="n"/>
      <c r="D77" s="9" t="n"/>
    </row>
    <row r="78">
      <c r="A78" s="7" t="n"/>
      <c r="B78" s="9" t="n"/>
      <c r="C78" s="9" t="n"/>
      <c r="D78" s="9" t="n"/>
    </row>
    <row r="79">
      <c r="A79" s="7" t="n"/>
      <c r="B79" s="9" t="n"/>
      <c r="C79" s="9" t="n"/>
      <c r="D79" s="9" t="n"/>
    </row>
    <row r="80">
      <c r="A80" s="7" t="n"/>
      <c r="B80" s="9" t="n"/>
      <c r="C80" s="9" t="n"/>
      <c r="D80" s="9" t="n"/>
    </row>
    <row r="81">
      <c r="A81" s="7" t="n"/>
      <c r="B81" s="9" t="n"/>
      <c r="C81" s="9" t="n"/>
      <c r="D81" s="9" t="n"/>
    </row>
    <row r="82">
      <c r="A82" s="7" t="n"/>
      <c r="B82" s="9" t="n"/>
      <c r="C82" s="9" t="n"/>
      <c r="D82" s="9" t="n"/>
    </row>
    <row r="83">
      <c r="A83" s="7" t="n"/>
      <c r="B83" s="9" t="n"/>
      <c r="C83" s="9" t="n"/>
      <c r="D83" s="9" t="n"/>
    </row>
    <row r="84">
      <c r="A84" s="7" t="n"/>
      <c r="B84" s="9" t="n"/>
      <c r="C84" s="9" t="n"/>
      <c r="D84" s="9" t="n"/>
    </row>
    <row r="85">
      <c r="A85" s="7" t="n"/>
      <c r="B85" s="9" t="n"/>
      <c r="C85" s="9" t="n"/>
      <c r="D85" s="9" t="n"/>
    </row>
    <row r="86">
      <c r="A86" s="7" t="n"/>
      <c r="B86" s="9" t="n"/>
      <c r="C86" s="9" t="n"/>
      <c r="D86" s="9" t="n"/>
    </row>
    <row r="87">
      <c r="A87" s="7" t="n"/>
      <c r="B87" s="9" t="n"/>
      <c r="C87" s="9" t="n"/>
      <c r="D87" s="9" t="n"/>
    </row>
    <row r="88">
      <c r="A88" s="7" t="n"/>
      <c r="B88" s="9" t="n"/>
      <c r="C88" s="9" t="n"/>
      <c r="D88" s="9" t="n"/>
    </row>
    <row r="89">
      <c r="A89" s="7" t="n"/>
      <c r="B89" s="9" t="n"/>
      <c r="C89" s="9" t="n"/>
      <c r="D89" s="9" t="n"/>
    </row>
    <row r="90">
      <c r="A90" s="7" t="n"/>
      <c r="B90" s="9" t="n"/>
      <c r="C90" s="9" t="n"/>
      <c r="D90" s="9" t="n"/>
    </row>
    <row r="91">
      <c r="A91" s="7" t="n"/>
      <c r="B91" s="9" t="n"/>
      <c r="C91" s="9" t="n"/>
      <c r="D91" s="9" t="n"/>
    </row>
    <row r="92">
      <c r="A92" s="7" t="n"/>
      <c r="B92" s="9" t="n"/>
      <c r="C92" s="9" t="n"/>
      <c r="D92" s="9" t="n"/>
    </row>
    <row r="93">
      <c r="A93" s="7" t="n"/>
      <c r="B93" s="9" t="n"/>
      <c r="C93" s="9" t="n"/>
      <c r="D93" s="9" t="n"/>
    </row>
    <row r="94">
      <c r="A94" s="7" t="n"/>
      <c r="B94" s="9" t="n"/>
      <c r="C94" s="9" t="n"/>
      <c r="D94" s="9" t="n"/>
    </row>
    <row r="95">
      <c r="A95" s="7" t="n"/>
      <c r="B95" s="9" t="n"/>
      <c r="C95" s="9" t="n"/>
      <c r="D95" s="9" t="n"/>
    </row>
    <row r="96">
      <c r="A96" s="7" t="n"/>
      <c r="B96" s="9" t="n"/>
      <c r="C96" s="9" t="n"/>
      <c r="D96" s="9" t="n"/>
    </row>
    <row r="97">
      <c r="A97" s="7" t="n"/>
      <c r="B97" s="9" t="n"/>
      <c r="C97" s="9" t="n"/>
      <c r="D97" s="9" t="n"/>
    </row>
    <row r="98">
      <c r="A98" s="7" t="n"/>
      <c r="B98" s="9" t="n"/>
      <c r="C98" s="9" t="n"/>
      <c r="D98" s="9" t="n"/>
    </row>
    <row r="99">
      <c r="A99" s="7" t="n"/>
      <c r="B99" s="9" t="n"/>
      <c r="C99" s="9" t="n"/>
      <c r="D99" s="9" t="n"/>
    </row>
    <row r="100">
      <c r="A100" s="7" t="n"/>
      <c r="B100" s="9" t="n"/>
      <c r="C100" s="9" t="n"/>
      <c r="D100" s="9" t="n"/>
    </row>
    <row r="101">
      <c r="A101" s="7" t="n"/>
      <c r="B101" s="9" t="n"/>
      <c r="C101" s="9" t="n"/>
      <c r="D101" s="9" t="n"/>
    </row>
    <row r="102">
      <c r="A102" s="7" t="n"/>
      <c r="B102" s="9" t="n"/>
      <c r="C102" s="9" t="n"/>
      <c r="D102" s="9" t="n"/>
    </row>
    <row r="103">
      <c r="A103" s="7" t="n"/>
      <c r="B103" s="9" t="n"/>
      <c r="C103" s="9" t="n"/>
      <c r="D103" s="9" t="n"/>
    </row>
    <row r="104">
      <c r="A104" s="7" t="n"/>
      <c r="B104" s="9" t="n"/>
      <c r="C104" s="9" t="n"/>
      <c r="D104" s="9" t="n"/>
    </row>
    <row r="105">
      <c r="A105" s="7" t="n"/>
      <c r="B105" s="9" t="n"/>
      <c r="C105" s="9" t="n"/>
      <c r="D105" s="9" t="n"/>
    </row>
    <row r="106">
      <c r="A106" s="7" t="n"/>
      <c r="B106" s="9" t="n"/>
      <c r="C106" s="9" t="n"/>
      <c r="D106" s="9" t="n"/>
    </row>
    <row r="107">
      <c r="A107" s="7" t="n"/>
      <c r="B107" s="9" t="n"/>
      <c r="C107" s="9" t="n"/>
      <c r="D107" s="9" t="n"/>
    </row>
    <row r="108">
      <c r="A108" s="7" t="n"/>
      <c r="B108" s="9" t="n"/>
      <c r="C108" s="9" t="n"/>
      <c r="D108" s="9" t="n"/>
    </row>
    <row r="109">
      <c r="A109" s="7" t="n"/>
      <c r="B109" s="9" t="n"/>
      <c r="C109" s="9" t="n"/>
      <c r="D109" s="9" t="n"/>
    </row>
    <row r="110">
      <c r="A110" s="7" t="n"/>
      <c r="B110" s="9" t="n"/>
      <c r="C110" s="9" t="n"/>
      <c r="D110" s="9" t="n"/>
    </row>
    <row r="111">
      <c r="A111" s="7" t="n"/>
      <c r="B111" s="9" t="n"/>
      <c r="C111" s="9" t="n"/>
      <c r="D111" s="9" t="n"/>
    </row>
    <row r="112">
      <c r="A112" s="7" t="n"/>
      <c r="B112" s="9" t="n"/>
      <c r="C112" s="9" t="n"/>
      <c r="D112" s="9" t="n"/>
    </row>
    <row r="113">
      <c r="A113" s="7" t="n"/>
      <c r="B113" s="9" t="n"/>
      <c r="C113" s="9" t="n"/>
      <c r="D113" s="9" t="n"/>
    </row>
    <row r="114">
      <c r="A114" s="7" t="n"/>
      <c r="B114" s="9" t="n"/>
      <c r="C114" s="9" t="n"/>
      <c r="D114" s="9" t="n"/>
    </row>
    <row r="115">
      <c r="A115" s="7" t="n"/>
      <c r="B115" s="9" t="n"/>
      <c r="C115" s="9" t="n"/>
      <c r="D115" s="9" t="n"/>
    </row>
    <row r="116">
      <c r="A116" s="7" t="n"/>
      <c r="B116" s="9" t="n"/>
      <c r="C116" s="9" t="n"/>
      <c r="D116" s="9" t="n"/>
    </row>
    <row r="117">
      <c r="A117" s="7" t="n"/>
      <c r="B117" s="9" t="n"/>
      <c r="C117" s="9" t="n"/>
      <c r="D117" s="9" t="n"/>
    </row>
    <row r="118">
      <c r="A118" s="7" t="n"/>
      <c r="B118" s="9" t="n"/>
      <c r="C118" s="9" t="n"/>
      <c r="D118" s="9" t="n"/>
    </row>
    <row r="119">
      <c r="A119" s="7" t="n"/>
      <c r="B119" s="9" t="n"/>
      <c r="C119" s="9" t="n"/>
      <c r="D119" s="9" t="n"/>
    </row>
    <row r="120">
      <c r="A120" s="7" t="n"/>
      <c r="B120" s="9" t="n"/>
      <c r="C120" s="9" t="n"/>
      <c r="D120" s="9" t="n"/>
    </row>
    <row r="121">
      <c r="A121" s="7" t="n"/>
      <c r="B121" s="9" t="n"/>
      <c r="C121" s="9" t="n"/>
      <c r="D121" s="9" t="n"/>
    </row>
    <row r="122">
      <c r="A122" s="7" t="n"/>
      <c r="B122" s="9" t="n"/>
      <c r="C122" s="9" t="n"/>
      <c r="D122" s="9" t="n"/>
    </row>
    <row r="123">
      <c r="A123" s="7" t="n"/>
      <c r="B123" s="9" t="n"/>
      <c r="C123" s="9" t="n"/>
      <c r="D123" s="9" t="n"/>
    </row>
    <row r="124">
      <c r="A124" s="7" t="n"/>
      <c r="B124" s="9" t="n"/>
      <c r="C124" s="9" t="n"/>
      <c r="D124" s="9" t="n"/>
    </row>
    <row r="125">
      <c r="A125" s="7" t="n"/>
      <c r="B125" s="9" t="n"/>
      <c r="C125" s="9" t="n"/>
      <c r="D125" s="9" t="n"/>
    </row>
    <row r="126">
      <c r="A126" s="7" t="n"/>
      <c r="B126" s="9" t="n"/>
      <c r="C126" s="9" t="n"/>
      <c r="D126" s="9" t="n"/>
    </row>
    <row r="127">
      <c r="A127" s="7" t="n"/>
      <c r="B127" s="9" t="n"/>
      <c r="C127" s="9" t="n"/>
      <c r="D127" s="9" t="n"/>
    </row>
  </sheetData>
  <mergeCells count="16">
    <mergeCell ref="B14:H14"/>
    <mergeCell ref="B17:H17"/>
    <mergeCell ref="B18:H18"/>
    <mergeCell ref="B13:H13"/>
    <mergeCell ref="B26:H26"/>
    <mergeCell ref="B27:H27"/>
    <mergeCell ref="B21:H21"/>
    <mergeCell ref="B4:H4"/>
    <mergeCell ref="B19:H19"/>
    <mergeCell ref="B20:D20"/>
    <mergeCell ref="B16:H16"/>
    <mergeCell ref="B15:H15"/>
    <mergeCell ref="B12:D12"/>
    <mergeCell ref="B5:H5"/>
    <mergeCell ref="B6:D6"/>
    <mergeCell ref="B28:H28"/>
  </mergeCells>
  <pageMargins left="0.75" right="0.75" top="1" bottom="1" header="0.5" footer="0.5"/>
  <pageSetup orientation="portrait" paperSize="9" scale="73"/>
</worksheet>
</file>

<file path=xl/worksheets/sheet2.xml><?xml version="1.0" encoding="utf-8"?>
<worksheet xmlns="http://schemas.openxmlformats.org/spreadsheetml/2006/main">
  <sheetPr codeName="Sheet2">
    <outlinePr summaryBelow="1" summaryRight="1"/>
    <pageSetUpPr/>
  </sheetPr>
  <dimension ref="A1:D55"/>
  <sheetViews>
    <sheetView showGridLines="0" zoomScale="70" zoomScaleNormal="70" zoomScaleSheetLayoutView="100" workbookViewId="0">
      <selection activeCell="C13" sqref="C13:D13"/>
    </sheetView>
  </sheetViews>
  <sheetFormatPr baseColWidth="8" defaultColWidth="8.7265625" defaultRowHeight="13"/>
  <cols>
    <col width="38.81640625" customWidth="1" style="18" min="1" max="1"/>
    <col width="16.7265625" customWidth="1" style="29" min="2" max="2"/>
    <col width="17" customWidth="1" style="19" min="3" max="3"/>
    <col width="65.54296875" customWidth="1" style="20" min="4" max="4"/>
    <col width="9.1796875" customWidth="1" style="14" min="5" max="229"/>
    <col width="38.81640625" customWidth="1" style="14" min="230" max="230"/>
    <col width="17.7265625" customWidth="1" style="14" min="231" max="231"/>
    <col width="3.7265625" customWidth="1" style="14" min="232" max="232"/>
    <col width="14.26953125" customWidth="1" style="14" min="233" max="233"/>
    <col width="4.1796875" bestFit="1" customWidth="1" style="14" min="234" max="234"/>
    <col width="13.54296875" customWidth="1" style="14" min="235" max="235"/>
    <col width="4" customWidth="1" style="14" min="236" max="236"/>
    <col width="17.7265625" customWidth="1" style="14" min="237" max="237"/>
    <col width="4.81640625" customWidth="1" style="14" min="238" max="238"/>
    <col width="13.54296875" customWidth="1" style="14" min="239" max="239"/>
    <col width="4.81640625" customWidth="1" style="14" min="240" max="240"/>
    <col width="15" customWidth="1" style="14" min="241" max="241"/>
    <col width="6.1796875" bestFit="1" customWidth="1" style="14" min="242" max="242"/>
    <col width="15.453125" bestFit="1" customWidth="1" style="14" min="243" max="243"/>
    <col width="3.81640625" customWidth="1" style="14" min="244" max="244"/>
    <col width="14.26953125" customWidth="1" style="14" min="245" max="245"/>
    <col width="4.1796875" bestFit="1" customWidth="1" style="14" min="246" max="246"/>
    <col width="14.26953125" bestFit="1" customWidth="1" style="14" min="247" max="247"/>
    <col width="4.1796875" bestFit="1" customWidth="1" style="14" min="248" max="248"/>
    <col width="12.453125" customWidth="1" style="14" min="249" max="249"/>
    <col width="5.54296875" bestFit="1" customWidth="1" style="14" min="250" max="250"/>
    <col width="13" customWidth="1" style="14" min="251" max="251"/>
    <col width="4.1796875" bestFit="1" customWidth="1" style="14" min="252" max="252"/>
    <col width="17.7265625" customWidth="1" style="14" min="253" max="253"/>
    <col width="4.1796875" bestFit="1" customWidth="1" style="14" min="254" max="254"/>
    <col width="15.453125" customWidth="1" style="14" min="255" max="255"/>
    <col width="8.7265625" customWidth="1" style="14" min="256" max="16384"/>
  </cols>
  <sheetData>
    <row r="1" ht="24.75" customFormat="1" customHeight="1" s="15">
      <c r="A1" s="72" t="inlineStr">
        <is>
          <t>Financial Ratio Template</t>
        </is>
      </c>
    </row>
    <row r="2" ht="33" customHeight="1">
      <c r="A2" s="49" t="inlineStr">
        <is>
          <t>Insert Bidder/Bidder Member Name:</t>
        </is>
      </c>
      <c r="B2" s="89" t="inlineStr">
        <is>
          <t>High Med Ltd (Lead Bidder)</t>
        </is>
      </c>
      <c r="C2" s="90" t="n"/>
      <c r="D2" s="91" t="n"/>
    </row>
    <row r="3" ht="9.75" customHeight="1">
      <c r="A3" s="49" t="n"/>
      <c r="B3" s="49" t="n"/>
      <c r="C3" s="49" t="n"/>
      <c r="D3" s="49" t="n"/>
    </row>
    <row r="4" ht="25.5" customHeight="1">
      <c r="A4" s="50" t="inlineStr">
        <is>
          <t>Complete the YELLOW cells within the following table for the MOST RECENT TWO YEARS, indicating which years these apply to in cell A5 and A31</t>
        </is>
      </c>
      <c r="B4" s="49" t="n"/>
      <c r="C4" s="49" t="n"/>
      <c r="D4" s="49" t="n"/>
    </row>
    <row r="5" ht="43.5" customHeight="1">
      <c r="A5" s="63" t="inlineStr">
        <is>
          <t xml:space="preserve">INSERT WHICH FINANCIAL YEAR(S) THE DATA RELATES TO </t>
        </is>
      </c>
      <c r="B5" s="47" t="inlineStr">
        <is>
          <t>Bidders Response</t>
        </is>
      </c>
      <c r="C5" s="46" t="inlineStr">
        <is>
          <t>Enter FY from audited accounts (High Med Ltd) - see 03 Supporting Evidence</t>
        </is>
      </c>
      <c r="D5" s="88" t="n"/>
    </row>
    <row r="6" ht="15.75" customHeight="1">
      <c r="A6" s="92" t="inlineStr">
        <is>
          <t>Profit &amp; Loss</t>
        </is>
      </c>
      <c r="B6" s="87" t="n"/>
      <c r="C6" s="87" t="n"/>
      <c r="D6" s="88" t="n"/>
    </row>
    <row r="7" ht="18.75" customHeight="1">
      <c r="A7" s="39" t="inlineStr">
        <is>
          <t>Turnover</t>
        </is>
      </c>
      <c r="B7" s="30" t="n">
        <v>0</v>
      </c>
      <c r="C7" s="93" t="inlineStr">
        <is>
          <t>TBC - from audited accounts (do not estimate)</t>
        </is>
      </c>
      <c r="D7" s="91" t="n"/>
    </row>
    <row r="8" ht="18.75" customHeight="1">
      <c r="A8" s="39" t="inlineStr">
        <is>
          <t>Operating Profit</t>
        </is>
      </c>
      <c r="B8" s="30" t="n">
        <v>0</v>
      </c>
      <c r="C8" s="93" t="n"/>
      <c r="D8" s="91" t="n"/>
    </row>
    <row r="9" ht="18.75" customHeight="1">
      <c r="A9" s="39" t="inlineStr">
        <is>
          <t>Net Profit / (loss) (before taxation)</t>
        </is>
      </c>
      <c r="B9" s="30" t="n">
        <v>0</v>
      </c>
      <c r="C9" s="93" t="n"/>
      <c r="D9" s="91" t="n"/>
    </row>
    <row r="10" ht="17.25" customHeight="1">
      <c r="A10" s="92" t="inlineStr">
        <is>
          <t>Balance Sheet</t>
        </is>
      </c>
      <c r="B10" s="87" t="n"/>
      <c r="C10" s="87" t="n"/>
      <c r="D10" s="88" t="n"/>
    </row>
    <row r="11" ht="18.75" customHeight="1">
      <c r="A11" s="39" t="inlineStr">
        <is>
          <t xml:space="preserve">Current Assets </t>
        </is>
      </c>
      <c r="B11" s="30" t="n">
        <v>0</v>
      </c>
      <c r="C11" s="93" t="n"/>
      <c r="D11" s="91" t="n"/>
    </row>
    <row r="12" ht="18.75" customHeight="1">
      <c r="A12" s="39" t="inlineStr">
        <is>
          <t>Current Liabilities</t>
        </is>
      </c>
      <c r="B12" s="30" t="n">
        <v>0</v>
      </c>
      <c r="C12" s="93" t="n"/>
      <c r="D12" s="91" t="n"/>
    </row>
    <row r="13" ht="18.75" customHeight="1">
      <c r="A13" s="39" t="inlineStr">
        <is>
          <t>Long Term Liabilities</t>
        </is>
      </c>
      <c r="B13" s="30" t="n">
        <v>0</v>
      </c>
      <c r="C13" s="93" t="n"/>
      <c r="D13" s="91" t="n"/>
    </row>
    <row r="14" ht="18.75" customHeight="1">
      <c r="A14" s="39" t="inlineStr">
        <is>
          <t>Equity Shareholders' Funds</t>
        </is>
      </c>
      <c r="B14" s="30" t="n">
        <v>0</v>
      </c>
      <c r="C14" s="93" t="n"/>
      <c r="D14" s="91" t="n"/>
    </row>
    <row r="15" ht="16.5" customHeight="1">
      <c r="A15" s="92" t="inlineStr">
        <is>
          <t>Share of Contract Value expected by Bidder / Bidder Member</t>
        </is>
      </c>
      <c r="B15" s="87" t="n"/>
      <c r="C15" s="87" t="n"/>
      <c r="D15" s="88" t="n"/>
    </row>
    <row r="16" ht="39" customHeight="1">
      <c r="A16" s="40" t="inlineStr">
        <is>
          <t>Percentage of the Total Contract value that the Bidder/Bidder Member is expected to be responsible for?</t>
        </is>
      </c>
      <c r="B16" s="41" t="n">
        <v>0</v>
      </c>
      <c r="C16" s="93" t="inlineStr">
        <is>
          <t>Share of contract value % - to confirm at consortium agreement</t>
        </is>
      </c>
      <c r="D16" s="91" t="n"/>
    </row>
    <row r="17" ht="7.5" customHeight="1"/>
    <row r="18" ht="21" customHeight="1">
      <c r="A18" s="46" t="inlineStr">
        <is>
          <t>RATIOS</t>
        </is>
      </c>
      <c r="B18" s="46" t="inlineStr">
        <is>
          <t>Ratio Calculation</t>
        </is>
      </c>
      <c r="C18" s="46" t="n"/>
      <c r="D18" s="46" t="n"/>
    </row>
    <row r="19" ht="21" customHeight="1">
      <c r="A19" s="94" t="inlineStr">
        <is>
          <t>Liquidity</t>
        </is>
      </c>
      <c r="B19" s="87" t="n"/>
      <c r="C19" s="87" t="n"/>
      <c r="D19" s="88" t="n"/>
    </row>
    <row r="20" ht="19.5" customHeight="1">
      <c r="A20" s="16" t="inlineStr">
        <is>
          <t>Current Ratio</t>
        </is>
      </c>
      <c r="B20" s="36">
        <f>SUM(B11/B12)</f>
        <v/>
      </c>
      <c r="C20" s="61">
        <f>IF(B20&gt;=0.8,1,0)</f>
        <v/>
      </c>
      <c r="D20" s="17" t="inlineStr">
        <is>
          <t>Current Assets (inc. Stock) divided by Current Liabilities</t>
        </is>
      </c>
    </row>
    <row r="21" ht="23.25" customHeight="1">
      <c r="A21" s="16" t="inlineStr">
        <is>
          <t>Net Assets</t>
        </is>
      </c>
      <c r="B21" s="37">
        <f>B11-B12</f>
        <v/>
      </c>
      <c r="C21" s="61">
        <f>IF(B21&gt;=0,1,0)</f>
        <v/>
      </c>
      <c r="D21" s="17" t="inlineStr">
        <is>
          <t>Current Assets less Current Liabilities</t>
        </is>
      </c>
    </row>
    <row r="22" ht="13.5" customHeight="1">
      <c r="A22" s="95" t="inlineStr">
        <is>
          <t xml:space="preserve">Debt </t>
        </is>
      </c>
      <c r="B22" s="87" t="n"/>
      <c r="C22" s="87" t="n"/>
      <c r="D22" s="96" t="n"/>
    </row>
    <row r="23" ht="25" customHeight="1">
      <c r="A23" s="16" t="inlineStr">
        <is>
          <t>Capital Gearing</t>
        </is>
      </c>
      <c r="B23" s="38">
        <f>(B13/B14)</f>
        <v/>
      </c>
      <c r="C23" s="61">
        <f>IF(AND(B23&gt;=0%,B23&lt;=100%),1,0)</f>
        <v/>
      </c>
      <c r="D23" s="17" t="inlineStr">
        <is>
          <t>Long Term Liabilities divided by Shareholders Funds expressed as a percentage</t>
        </is>
      </c>
    </row>
    <row r="24" ht="13.5" customHeight="1">
      <c r="A24" s="95" t="inlineStr">
        <is>
          <t>Profitability</t>
        </is>
      </c>
      <c r="B24" s="87" t="n"/>
      <c r="C24" s="87" t="n"/>
      <c r="D24" s="96" t="n"/>
    </row>
    <row r="25" ht="25" customHeight="1">
      <c r="A25" s="16" t="inlineStr">
        <is>
          <t>ROCE</t>
        </is>
      </c>
      <c r="B25" s="38">
        <f>B8/(B13+B14)</f>
        <v/>
      </c>
      <c r="C25" s="61">
        <f>IF(B25&gt;=0,1,0)</f>
        <v/>
      </c>
      <c r="D25" s="17" t="inlineStr">
        <is>
          <t>Operating Profit divided by (Shareholders Funds plus Long Term Liabilities) expressed as a percentage</t>
        </is>
      </c>
    </row>
    <row r="26" ht="24.75" customHeight="1">
      <c r="A26" s="16" t="inlineStr">
        <is>
          <t>Net Profit Margin</t>
        </is>
      </c>
      <c r="B26" s="38">
        <f>SUM(B9/B7)</f>
        <v/>
      </c>
      <c r="C26" s="61">
        <f>IF(B26&gt;=0,1,0)</f>
        <v/>
      </c>
      <c r="D26" s="17" t="inlineStr">
        <is>
          <t>Net Profit before Taxation divided by Turnover expressed as a percentage</t>
        </is>
      </c>
    </row>
    <row r="27" ht="13.5" customHeight="1">
      <c r="A27" s="95" t="inlineStr">
        <is>
          <t>Contract Guidance Value</t>
        </is>
      </c>
      <c r="B27" s="87" t="n"/>
      <c r="C27" s="87" t="n"/>
      <c r="D27" s="96" t="n"/>
    </row>
    <row r="28" ht="25" customHeight="1">
      <c r="A28" s="16" t="inlineStr">
        <is>
          <t>Annual Guidance Value Ratio</t>
        </is>
      </c>
      <c r="B28" s="36">
        <f>'Calculated AGV Ratio'!B9</f>
        <v/>
      </c>
      <c r="C28" s="62">
        <f>'Calculated AGV Ratio'!B10</f>
        <v/>
      </c>
      <c r="D28" s="17" t="inlineStr">
        <is>
          <t>Calculated Annual Guidance Value Ratio (see next worksheet), expressed as a percentage.</t>
        </is>
      </c>
    </row>
    <row r="29" ht="27" customHeight="1"/>
    <row r="30" ht="25.5" customHeight="1">
      <c r="A30" s="50" t="inlineStr">
        <is>
          <t>Bidder Member 2: Dr Singh Hammond Road (key party)</t>
        </is>
      </c>
      <c r="B30" s="49" t="n"/>
      <c r="C30" s="49" t="n"/>
      <c r="D30" s="49" t="n"/>
    </row>
    <row r="31" ht="41.25" customHeight="1">
      <c r="A31" s="63" t="inlineStr">
        <is>
          <t xml:space="preserve">INSERT WHICH FINANCIAL YEAR(S) THE DATA RELATES TO </t>
        </is>
      </c>
      <c r="B31" s="47" t="inlineStr">
        <is>
          <t>Bidders Response</t>
        </is>
      </c>
      <c r="C31" s="46" t="inlineStr">
        <is>
          <t>Enter FY from audited accounts (Dr Singh Hammond Road) - see 03 Supporting Evidence</t>
        </is>
      </c>
      <c r="D31" s="88" t="n"/>
    </row>
    <row r="32" ht="16.5" customHeight="1">
      <c r="A32" s="92" t="inlineStr">
        <is>
          <t>Profit &amp; Loss</t>
        </is>
      </c>
      <c r="B32" s="87" t="n"/>
      <c r="C32" s="87" t="n"/>
      <c r="D32" s="88" t="n"/>
    </row>
    <row r="33" ht="22.5" customHeight="1">
      <c r="A33" s="39" t="inlineStr">
        <is>
          <t>Turnover</t>
        </is>
      </c>
      <c r="B33" s="30" t="n"/>
      <c r="C33" s="93" t="n"/>
      <c r="D33" s="91" t="n"/>
    </row>
    <row r="34" ht="22.5" customHeight="1">
      <c r="A34" s="39" t="inlineStr">
        <is>
          <t>Operating Profit</t>
        </is>
      </c>
      <c r="B34" s="30" t="n"/>
      <c r="C34" s="93" t="n"/>
      <c r="D34" s="91" t="n"/>
    </row>
    <row r="35" ht="22.5" customHeight="1">
      <c r="A35" s="39" t="inlineStr">
        <is>
          <t>Net Profit / (loss) (before taxation)</t>
        </is>
      </c>
      <c r="B35" s="30" t="n"/>
      <c r="C35" s="93" t="n"/>
      <c r="D35" s="91" t="n"/>
    </row>
    <row r="36" ht="15.75" customHeight="1">
      <c r="A36" s="92" t="inlineStr">
        <is>
          <t>Balance Sheet</t>
        </is>
      </c>
      <c r="B36" s="87" t="n"/>
      <c r="C36" s="87" t="n"/>
      <c r="D36" s="88" t="n"/>
    </row>
    <row r="37" ht="21.75" customHeight="1">
      <c r="A37" s="39" t="inlineStr">
        <is>
          <t xml:space="preserve">Current Assets </t>
        </is>
      </c>
      <c r="B37" s="30" t="n"/>
      <c r="C37" s="93" t="n"/>
      <c r="D37" s="91" t="n"/>
    </row>
    <row r="38" ht="21.75" customHeight="1">
      <c r="A38" s="39" t="inlineStr">
        <is>
          <t>Current Liabilities</t>
        </is>
      </c>
      <c r="B38" s="30" t="n"/>
      <c r="C38" s="93" t="n"/>
      <c r="D38" s="91" t="n"/>
    </row>
    <row r="39" ht="21.75" customHeight="1">
      <c r="A39" s="39" t="inlineStr">
        <is>
          <t>Long Term Liabilities</t>
        </is>
      </c>
      <c r="B39" s="30" t="n"/>
      <c r="C39" s="93" t="n"/>
      <c r="D39" s="91" t="n"/>
    </row>
    <row r="40" ht="21.75" customHeight="1">
      <c r="A40" s="39" t="inlineStr">
        <is>
          <t>Equity Shareholders' Funds</t>
        </is>
      </c>
      <c r="B40" s="30" t="n"/>
      <c r="C40" s="93" t="n"/>
      <c r="D40" s="91" t="n"/>
    </row>
    <row r="41" ht="15.75" customHeight="1">
      <c r="A41" s="92" t="inlineStr">
        <is>
          <t>Share of Contract Value expected by Bidder / Bidder Member</t>
        </is>
      </c>
      <c r="B41" s="87" t="n"/>
      <c r="C41" s="87" t="n"/>
      <c r="D41" s="88" t="n"/>
    </row>
    <row r="42" ht="42.75" customHeight="1">
      <c r="A42" s="40" t="inlineStr">
        <is>
          <t>Percentage of the Total Contract value that the Bidder/Bidder Member is expected to be responsible for?</t>
        </is>
      </c>
      <c r="B42" s="41" t="n"/>
      <c r="C42" s="93" t="n"/>
      <c r="D42" s="91" t="n"/>
    </row>
    <row r="43" ht="7.5" customHeight="1"/>
    <row r="44" ht="12.75" customHeight="1">
      <c r="A44" s="46" t="inlineStr">
        <is>
          <t>RATIOS</t>
        </is>
      </c>
      <c r="B44" s="46" t="inlineStr">
        <is>
          <t>Ratio Calculation</t>
        </is>
      </c>
      <c r="C44" s="46" t="n"/>
      <c r="D44" s="46" t="n"/>
    </row>
    <row r="45" ht="16.5" customHeight="1">
      <c r="A45" s="94" t="inlineStr">
        <is>
          <t>Liquidity</t>
        </is>
      </c>
      <c r="B45" s="87" t="n"/>
      <c r="C45" s="87" t="n"/>
      <c r="D45" s="88" t="n"/>
    </row>
    <row r="46" ht="21.75" customHeight="1">
      <c r="A46" s="16" t="inlineStr">
        <is>
          <t>Current Ratio</t>
        </is>
      </c>
      <c r="B46" s="36">
        <f>SUM(B37/B38)</f>
        <v/>
      </c>
      <c r="C46" s="61">
        <f>IF(B46&gt;=0.8,1,0)</f>
        <v/>
      </c>
      <c r="D46" s="17" t="inlineStr">
        <is>
          <t>Current Assets (inc. Stock) divided by Current Liabilities</t>
        </is>
      </c>
    </row>
    <row r="47" ht="18" customHeight="1">
      <c r="A47" s="16" t="inlineStr">
        <is>
          <t>Net Assets</t>
        </is>
      </c>
      <c r="B47" s="37">
        <f>B37-B38</f>
        <v/>
      </c>
      <c r="C47" s="61">
        <f>IF(B47&gt;=0,1,0)</f>
        <v/>
      </c>
      <c r="D47" s="17" t="inlineStr">
        <is>
          <t>Current Assets less Current Liabilities</t>
        </is>
      </c>
    </row>
    <row r="48" ht="13.5" customHeight="1">
      <c r="A48" s="95" t="inlineStr">
        <is>
          <t xml:space="preserve">Debt </t>
        </is>
      </c>
      <c r="B48" s="87" t="n"/>
      <c r="C48" s="87" t="n"/>
      <c r="D48" s="96" t="n"/>
    </row>
    <row r="49" ht="29.25" customHeight="1">
      <c r="A49" s="16" t="inlineStr">
        <is>
          <t>Capital Gearing</t>
        </is>
      </c>
      <c r="B49" s="38">
        <f>(B39/B40)</f>
        <v/>
      </c>
      <c r="C49" s="61">
        <f>IF(AND(B49&gt;=0%,B49&lt;=100%),1,0)</f>
        <v/>
      </c>
      <c r="D49" s="17" t="inlineStr">
        <is>
          <t>Long Term Liabilities divided by Shareholders Funds expressed as a percentage</t>
        </is>
      </c>
    </row>
    <row r="50" ht="15.75" customHeight="1">
      <c r="A50" s="95" t="inlineStr">
        <is>
          <t>Profitability</t>
        </is>
      </c>
      <c r="B50" s="87" t="n"/>
      <c r="C50" s="87" t="n"/>
      <c r="D50" s="96" t="n"/>
    </row>
    <row r="51" ht="25" customHeight="1">
      <c r="A51" s="16" t="inlineStr">
        <is>
          <t>ROCE</t>
        </is>
      </c>
      <c r="B51" s="38">
        <f>B34/(B39+B40)</f>
        <v/>
      </c>
      <c r="C51" s="61">
        <f>IF(B51&gt;=0,1,0)</f>
        <v/>
      </c>
      <c r="D51" s="17" t="inlineStr">
        <is>
          <t>Operating Profit divided by (Shareholders Funds plus Long Term Liabilities) expressed as a percentage</t>
        </is>
      </c>
    </row>
    <row r="52" ht="18" customHeight="1">
      <c r="A52" s="16" t="inlineStr">
        <is>
          <t>Net Profit Margin</t>
        </is>
      </c>
      <c r="B52" s="38">
        <f>SUM(B35/B33)</f>
        <v/>
      </c>
      <c r="C52" s="61">
        <f>IF(B52&gt;=0,1,0)</f>
        <v/>
      </c>
      <c r="D52" s="17" t="inlineStr">
        <is>
          <t>Net Profit before Taxation divided by Turnover expressed as a percentage</t>
        </is>
      </c>
    </row>
    <row r="53" ht="13.5" customHeight="1">
      <c r="A53" s="95" t="inlineStr">
        <is>
          <t>Contract Guidance Value</t>
        </is>
      </c>
      <c r="B53" s="87" t="n"/>
      <c r="C53" s="87" t="n"/>
      <c r="D53" s="96" t="n"/>
    </row>
    <row r="54" ht="25" customHeight="1">
      <c r="A54" s="16" t="inlineStr">
        <is>
          <t>FRT to be completed per bidder member from audited accounts (31.3.23 / 31.3.24 in Supporting Evidence). Figures must not be estimated. Annual Guidance Value GBP 1,640,000.</t>
        </is>
      </c>
      <c r="B54" s="36">
        <f>'Calculated AGV Ratio'!B18</f>
        <v/>
      </c>
      <c r="C54" s="62">
        <f>'Calculated AGV Ratio'!B19</f>
        <v/>
      </c>
      <c r="D54" s="17" t="inlineStr">
        <is>
          <t>Calculated Annual Guidance Value Ratio (see next worksheet), expressed as a percentage.</t>
        </is>
      </c>
    </row>
    <row r="55" ht="24.75" customHeight="1">
      <c r="A55" s="42" t="n"/>
      <c r="B55" s="42" t="n"/>
      <c r="C55" s="42" t="n"/>
      <c r="D55" s="43" t="n"/>
    </row>
  </sheetData>
  <mergeCells count="34">
    <mergeCell ref="C34:D34"/>
    <mergeCell ref="A53:D53"/>
    <mergeCell ref="A22:D22"/>
    <mergeCell ref="C33:D33"/>
    <mergeCell ref="C42:D42"/>
    <mergeCell ref="C5:D5"/>
    <mergeCell ref="C14:D14"/>
    <mergeCell ref="A19:D19"/>
    <mergeCell ref="A10:D10"/>
    <mergeCell ref="C35:D35"/>
    <mergeCell ref="C16:D16"/>
    <mergeCell ref="A48:D48"/>
    <mergeCell ref="A15:D15"/>
    <mergeCell ref="A24:D24"/>
    <mergeCell ref="C40:D40"/>
    <mergeCell ref="C9:D9"/>
    <mergeCell ref="C31:D31"/>
    <mergeCell ref="A36:D36"/>
    <mergeCell ref="A45:D45"/>
    <mergeCell ref="A1:D1"/>
    <mergeCell ref="C12:D12"/>
    <mergeCell ref="A6:D6"/>
    <mergeCell ref="C11:D11"/>
    <mergeCell ref="A41:D41"/>
    <mergeCell ref="C39:D39"/>
    <mergeCell ref="C8:D8"/>
    <mergeCell ref="A27:D27"/>
    <mergeCell ref="C38:D38"/>
    <mergeCell ref="C7:D7"/>
    <mergeCell ref="A50:D50"/>
    <mergeCell ref="C37:D37"/>
    <mergeCell ref="C13:D13"/>
    <mergeCell ref="A32:D32"/>
    <mergeCell ref="B2:D2"/>
  </mergeCells>
  <conditionalFormatting sqref="C20:C21 C25:C26 C28">
    <cfRule type="cellIs" priority="3" operator="equal" dxfId="0" stopIfTrue="1">
      <formula>0</formula>
    </cfRule>
  </conditionalFormatting>
  <conditionalFormatting sqref="C23">
    <cfRule type="cellIs" priority="1" operator="equal" dxfId="0" stopIfTrue="1">
      <formula>0</formula>
    </cfRule>
  </conditionalFormatting>
  <conditionalFormatting sqref="C46:C47 C49 C51:C52 C54">
    <cfRule type="cellIs" priority="2" operator="equal" dxfId="0" stopIfTrue="1">
      <formula>0</formula>
    </cfRule>
  </conditionalFormatting>
  <pageMargins left="0.6692913385826772" right="0.2362204724409449" top="0.984251968503937" bottom="0.7086614173228347" header="0.2362204724409449" footer="0.5118110236220472"/>
  <pageSetup orientation="landscape" paperSize="8" scale="62" horizontalDpi="300" verticalDpi="300"/>
</worksheet>
</file>

<file path=xl/worksheets/sheet3.xml><?xml version="1.0" encoding="utf-8"?>
<worksheet xmlns="http://schemas.openxmlformats.org/spreadsheetml/2006/main">
  <sheetPr codeName="Sheet3">
    <outlinePr summaryBelow="1" summaryRight="1"/>
    <pageSetUpPr/>
  </sheetPr>
  <dimension ref="A1:C19"/>
  <sheetViews>
    <sheetView showGridLines="0" zoomScale="70" zoomScaleNormal="70" workbookViewId="0">
      <selection activeCell="D34" sqref="D34"/>
    </sheetView>
  </sheetViews>
  <sheetFormatPr baseColWidth="8" defaultColWidth="32.1796875" defaultRowHeight="12.5"/>
  <cols>
    <col width="61.453125" customWidth="1" style="24" min="1" max="1"/>
    <col width="15.453125" customWidth="1" style="24" min="2" max="2"/>
    <col width="32.1796875" customWidth="1" style="24" min="3" max="16384"/>
  </cols>
  <sheetData>
    <row r="1" ht="15.5" customHeight="1">
      <c r="A1" s="44" t="inlineStr">
        <is>
          <t>Calculated Annual Guidance Value Ratio</t>
        </is>
      </c>
    </row>
    <row r="3" ht="13" customHeight="1">
      <c r="A3" s="97">
        <f>'For BIDDER COMPLETION'!A5</f>
        <v/>
      </c>
      <c r="B3" s="88" t="n"/>
    </row>
    <row r="4" ht="13" customHeight="1">
      <c r="A4" s="22" t="inlineStr">
        <is>
          <t>ANNUAL GUIDANCE VALUE RATIO</t>
        </is>
      </c>
      <c r="B4" s="23" t="n"/>
    </row>
    <row r="5" ht="13" customHeight="1">
      <c r="A5" s="25" t="inlineStr">
        <is>
          <t>Annual Guidance Value Ratio Figure</t>
        </is>
      </c>
      <c r="B5" s="59" t="n">
        <v>1640000</v>
      </c>
      <c r="C5" s="26" t="n"/>
    </row>
    <row r="6" ht="25" customHeight="1">
      <c r="A6" s="25" t="inlineStr">
        <is>
          <t>Percentage of the Total Contract value that the Bidder/Bidder Member is expected to be responsible for?</t>
        </is>
      </c>
      <c r="B6" s="31">
        <f>'For BIDDER COMPLETION'!B16</f>
        <v/>
      </c>
    </row>
    <row r="7">
      <c r="A7" s="25" t="inlineStr">
        <is>
          <t>Calculated Value of the Contract that the Bidder will be responsible for:</t>
        </is>
      </c>
      <c r="B7" s="32">
        <f>B5*B6</f>
        <v/>
      </c>
    </row>
    <row r="8">
      <c r="A8" s="25" t="inlineStr">
        <is>
          <t>Bidder Turnover</t>
        </is>
      </c>
      <c r="B8" s="33">
        <f>'For BIDDER COMPLETION'!B7</f>
        <v/>
      </c>
    </row>
    <row r="9">
      <c r="A9" s="25" t="inlineStr">
        <is>
          <t>Calculated Annual Guidance Value Ratio, expressed as a percentage</t>
        </is>
      </c>
      <c r="B9" s="34">
        <f>B7/B8</f>
        <v/>
      </c>
    </row>
    <row r="10" ht="13" customHeight="1">
      <c r="A10" s="22" t="inlineStr">
        <is>
          <t>SCORE</t>
        </is>
      </c>
      <c r="B10" s="35">
        <f>IF(B9&lt;=100%,1,0)</f>
        <v/>
      </c>
    </row>
    <row r="11" ht="18" customHeight="1"/>
    <row r="12" ht="13" customHeight="1">
      <c r="A12" s="97">
        <f>'For BIDDER COMPLETION'!A31</f>
        <v/>
      </c>
      <c r="B12" s="88" t="n"/>
    </row>
    <row r="13" ht="13" customHeight="1">
      <c r="A13" s="22" t="inlineStr">
        <is>
          <t>ANNUAL GUIDANCE VALUE RATIO</t>
        </is>
      </c>
      <c r="B13" s="23" t="n"/>
    </row>
    <row r="14" ht="13" customHeight="1">
      <c r="A14" s="25" t="inlineStr">
        <is>
          <t>Annual Guidance Value Ratio Figure</t>
        </is>
      </c>
      <c r="B14" s="59" t="n">
        <v>1640000</v>
      </c>
      <c r="C14" s="26" t="n"/>
    </row>
    <row r="15" ht="25" customHeight="1">
      <c r="A15" s="25" t="inlineStr">
        <is>
          <t>Percentage of the Total Contract value that the Bidder/Bidder Member is expected to be responsible for?</t>
        </is>
      </c>
      <c r="B15" s="31">
        <f>'For BIDDER COMPLETION'!B42</f>
        <v/>
      </c>
    </row>
    <row r="16">
      <c r="A16" s="25" t="inlineStr">
        <is>
          <t>Calculated Value of the Contract that the Bidder will be responsible for:</t>
        </is>
      </c>
      <c r="B16" s="32">
        <f>B14*B15</f>
        <v/>
      </c>
    </row>
    <row r="17">
      <c r="A17" s="25" t="inlineStr">
        <is>
          <t>Bidder Turnover</t>
        </is>
      </c>
      <c r="B17" s="33">
        <f>'For BIDDER COMPLETION'!B33</f>
        <v/>
      </c>
    </row>
    <row r="18">
      <c r="A18" s="25" t="inlineStr">
        <is>
          <t>Calculated Annual Guidance Value Ratio, expressed as a percentage</t>
        </is>
      </c>
      <c r="B18" s="34">
        <f>B16/B17</f>
        <v/>
      </c>
    </row>
    <row r="19" ht="13" customHeight="1">
      <c r="A19" s="22" t="inlineStr">
        <is>
          <t>SCORE</t>
        </is>
      </c>
      <c r="B19" s="35">
        <f>IF(B18&lt;=100%,1,0)</f>
        <v/>
      </c>
    </row>
    <row r="20" ht="19.5" customHeight="1"/>
  </sheetData>
  <mergeCells count="2">
    <mergeCell ref="A3:B3"/>
    <mergeCell ref="A12:B12"/>
  </mergeCells>
  <pageMargins left="0.7" right="0.7" top="0.75" bottom="0.75" header="0.3" footer="0.3"/>
  <pageSetup orientation="portrait" horizontalDpi="300" verticalDpi="300"/>
  <headerFooter>
    <oddHeader/>
    <oddFooter>&amp;C_x000a__x000a_© NHS Shared Business Services 2017_x000a_&amp;F</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Graham</dc:creator>
  <dcterms:created xmlns:dcterms="http://purl.org/dc/terms/" xmlns:xsi="http://www.w3.org/2001/XMLSchema-instance" xsi:type="dcterms:W3CDTF">2012-05-17T13:30:54Z</dcterms:created>
  <dcterms:modified xmlns:dcterms="http://purl.org/dc/terms/" xmlns:xsi="http://www.w3.org/2001/XMLSchema-instance" xsi:type="dcterms:W3CDTF">2026-06-11T10:39:26Z</dcterms:modified>
  <cp:lastModifiedBy>Jordan Hopkins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0x010100ED006C8337AA284687A3CCF8C4285AE5</vt:lpwstr>
  </property>
  <property name="PublishingExpirationDate" fmtid="{D5CDD505-2E9C-101B-9397-08002B2CF9AE}" pid="3">
    <vt:lpwstr xmlns:vt="http://schemas.openxmlformats.org/officeDocument/2006/docPropsVTypes"/>
  </property>
  <property name="PublishingStartDate" fmtid="{D5CDD505-2E9C-101B-9397-08002B2CF9AE}" pid="4">
    <vt:lpwstr xmlns:vt="http://schemas.openxmlformats.org/officeDocument/2006/docPropsVTypes"/>
  </property>
  <property name="MediaServiceImageTags" fmtid="{D5CDD505-2E9C-101B-9397-08002B2CF9AE}" pid="5">
    <vt:lpwstr xmlns:vt="http://schemas.openxmlformats.org/officeDocument/2006/docPropsVTypes"/>
  </property>
  <property name="SV_QUERY_LIST_4F35BF76-6C0D-4D9B-82B2-816C12CF3733" fmtid="{D5CDD505-2E9C-101B-9397-08002B2CF9AE}" pid="6">
    <vt:lpwstr xmlns:vt="http://schemas.openxmlformats.org/officeDocument/2006/docPropsVTypes">empty_477D106A-C0D6-4607-AEBD-E2C9D60EA279</vt:lpwstr>
  </property>
  <property name="SV_HIDDEN_GRID_QUERY_LIST_4F35BF76-6C0D-4D9B-82B2-816C12CF3733" fmtid="{D5CDD505-2E9C-101B-9397-08002B2CF9AE}" pid="7">
    <vt:lpwstr xmlns:vt="http://schemas.openxmlformats.org/officeDocument/2006/docPropsVTypes">empty_477D106A-C0D6-4607-AEBD-E2C9D60EA279</vt:lpwstr>
  </property>
</Properties>
</file>