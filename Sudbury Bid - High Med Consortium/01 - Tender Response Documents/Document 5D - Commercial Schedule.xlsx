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920" yWindow="-105" windowWidth="29040" windowHeight="15720" tabRatio="600" firstSheet="0" activeTab="0" autoFilterDateGrouping="1"/>
  </bookViews>
  <sheets>
    <sheet xmlns:r="http://schemas.openxmlformats.org/officeDocument/2006/relationships" name="Notes to Bidder-  READ FIRST!" sheetId="1" state="visible" r:id="rId1"/>
    <sheet xmlns:r="http://schemas.openxmlformats.org/officeDocument/2006/relationships" name="Commercial Schedule" sheetId="2" state="visible" r:id="rId2"/>
  </sheets>
  <definedNames>
    <definedName name="_xlnm.Print_Area" localSheetId="0">'Notes to Bidder-  READ FIRST!'!$A$1:$A$11</definedName>
  </definedNames>
  <calcPr calcId="191029" fullCalcOnLoad="1"/>
</workbook>
</file>

<file path=xl/styles.xml><?xml version="1.0" encoding="utf-8"?>
<styleSheet xmlns="http://schemas.openxmlformats.org/spreadsheetml/2006/main">
  <numFmts count="4">
    <numFmt numFmtId="164" formatCode="&quot;£&quot;#,##0"/>
    <numFmt numFmtId="165" formatCode="0.0%"/>
    <numFmt numFmtId="166" formatCode="&quot;Year&quot;\ 0"/>
    <numFmt numFmtId="167" formatCode="dd\-mmm\-yy\ hh:mm:ss"/>
  </numFmts>
  <fonts count="44">
    <font>
      <name val="Calibri"/>
      <family val="2"/>
      <color theme="1"/>
      <sz val="11"/>
      <scheme val="minor"/>
    </font>
    <font>
      <name val="Calibri"/>
      <family val="2"/>
      <color rgb="FFFF0000"/>
      <sz val="11"/>
      <scheme val="minor"/>
    </font>
    <font>
      <name val="Calibri"/>
      <family val="2"/>
      <b val="1"/>
      <color theme="1"/>
      <sz val="11"/>
      <scheme val="minor"/>
    </font>
    <font>
      <name val="Arial"/>
      <family val="2"/>
      <sz val="10"/>
    </font>
    <font>
      <name val="Calibri"/>
      <family val="2"/>
      <color indexed="8"/>
      <sz val="11"/>
    </font>
    <font>
      <name val="Calibri"/>
      <family val="2"/>
      <color indexed="9"/>
      <sz val="11"/>
    </font>
    <font>
      <name val="Calibri"/>
      <family val="2"/>
      <color indexed="20"/>
      <sz val="11"/>
    </font>
    <font>
      <name val="Calibri"/>
      <family val="2"/>
      <b val="1"/>
      <color indexed="52"/>
      <sz val="11"/>
    </font>
    <font>
      <name val="Calibri"/>
      <family val="2"/>
      <b val="1"/>
      <color indexed="9"/>
      <sz val="11"/>
    </font>
    <font>
      <name val="Arial"/>
      <family val="2"/>
      <sz val="9"/>
    </font>
    <font>
      <name val="Calibri"/>
      <family val="2"/>
      <i val="1"/>
      <color indexed="23"/>
      <sz val="11"/>
    </font>
    <font>
      <name val="Calibri"/>
      <family val="2"/>
      <color indexed="17"/>
      <sz val="11"/>
    </font>
    <font>
      <name val="Calibri"/>
      <family val="2"/>
      <b val="1"/>
      <color indexed="56"/>
      <sz val="15"/>
    </font>
    <font>
      <name val="Calibri"/>
      <family val="2"/>
      <b val="1"/>
      <color indexed="56"/>
      <sz val="13"/>
    </font>
    <font>
      <name val="Calibri"/>
      <family val="2"/>
      <b val="1"/>
      <color indexed="56"/>
      <sz val="11"/>
    </font>
    <font>
      <name val="Calibri"/>
      <family val="2"/>
      <color indexed="62"/>
      <sz val="11"/>
    </font>
    <font>
      <name val="Calibri"/>
      <family val="2"/>
      <color indexed="52"/>
      <sz val="11"/>
    </font>
    <font>
      <name val="Calibri"/>
      <family val="2"/>
      <color indexed="60"/>
      <sz val="11"/>
    </font>
    <font>
      <name val="Calibri"/>
      <family val="2"/>
      <b val="1"/>
      <color indexed="63"/>
      <sz val="11"/>
    </font>
    <font>
      <name val="Cambria"/>
      <family val="2"/>
      <b val="1"/>
      <color indexed="56"/>
      <sz val="18"/>
    </font>
    <font>
      <name val="Calibri"/>
      <family val="2"/>
      <b val="1"/>
      <color indexed="8"/>
      <sz val="11"/>
    </font>
    <font>
      <name val="Calibri"/>
      <family val="2"/>
      <color indexed="10"/>
      <sz val="11"/>
    </font>
    <font>
      <name val="Arial"/>
      <family val="2"/>
      <color indexed="8"/>
      <sz val="11"/>
    </font>
    <font>
      <name val="Arial"/>
      <family val="2"/>
      <sz val="10"/>
    </font>
    <font>
      <name val="Arial"/>
      <family val="2"/>
      <sz val="11"/>
    </font>
    <font>
      <name val="Times New Roman"/>
      <family val="1"/>
      <sz val="10"/>
    </font>
    <font>
      <name val="Calibri"/>
      <family val="2"/>
      <i val="1"/>
      <color theme="1"/>
      <sz val="11"/>
      <scheme val="minor"/>
    </font>
    <font>
      <name val="Calibri"/>
      <family val="2"/>
      <b val="1"/>
      <color rgb="FFFF0000"/>
      <sz val="11"/>
      <scheme val="minor"/>
    </font>
    <font>
      <name val="Calibri"/>
      <family val="2"/>
      <b val="1"/>
      <color rgb="FF0070C0"/>
      <sz val="11"/>
      <scheme val="minor"/>
    </font>
    <font>
      <name val="Calibri"/>
      <family val="2"/>
      <color theme="1"/>
      <sz val="12"/>
      <scheme val="minor"/>
    </font>
    <font>
      <name val="Calibri"/>
      <family val="2"/>
      <b val="1"/>
      <color theme="1"/>
      <sz val="12"/>
      <scheme val="minor"/>
    </font>
    <font>
      <name val="Calibri"/>
      <family val="2"/>
      <b val="1"/>
      <color theme="1"/>
      <sz val="14"/>
      <scheme val="minor"/>
    </font>
    <font>
      <name val="Calibri"/>
      <family val="2"/>
      <b val="1"/>
      <i val="1"/>
      <color rgb="FFFF0000"/>
      <sz val="11"/>
      <scheme val="minor"/>
    </font>
    <font>
      <name val="Calibri"/>
      <family val="2"/>
      <b val="1"/>
      <color theme="1"/>
      <sz val="20"/>
      <u val="single"/>
      <scheme val="minor"/>
    </font>
    <font>
      <name val="Calibri"/>
      <family val="2"/>
      <b val="1"/>
      <i val="1"/>
      <sz val="11"/>
      <scheme val="minor"/>
    </font>
    <font>
      <name val="Calibri"/>
      <family val="2"/>
      <b val="1"/>
      <color rgb="FFFF0000"/>
      <sz val="14"/>
      <scheme val="minor"/>
    </font>
    <font>
      <name val="Calibri"/>
      <family val="2"/>
      <b val="1"/>
      <color rgb="FFFF0000"/>
      <sz val="16"/>
      <scheme val="minor"/>
    </font>
    <font>
      <name val="Calibri"/>
      <family val="2"/>
      <b val="1"/>
      <sz val="12"/>
      <scheme val="minor"/>
    </font>
    <font>
      <name val="Calibri"/>
      <family val="2"/>
      <b val="1"/>
      <color rgb="FFFF0000"/>
      <sz val="14"/>
      <u val="single"/>
      <scheme val="minor"/>
    </font>
    <font>
      <name val="Calibri"/>
      <family val="2"/>
      <color theme="1"/>
      <sz val="20"/>
      <scheme val="minor"/>
    </font>
    <font>
      <name val="Calibri"/>
      <family val="2"/>
      <b val="1"/>
      <color rgb="FFFF0000"/>
      <sz val="12"/>
      <scheme val="minor"/>
    </font>
    <font>
      <name val="Calibri"/>
      <family val="2"/>
      <b val="1"/>
      <color rgb="FFFF0000"/>
      <sz val="18"/>
      <u val="single"/>
      <scheme val="minor"/>
    </font>
    <font>
      <name val="Calibri"/>
      <family val="2"/>
      <b val="1"/>
      <color rgb="FF0070C0"/>
      <sz val="14"/>
      <scheme val="minor"/>
    </font>
    <font>
      <name val="Calibri"/>
      <family val="2"/>
      <color rgb="FFFF0000"/>
      <sz val="12"/>
      <scheme val="minor"/>
    </font>
  </fonts>
  <fills count="30">
    <fill>
      <patternFill/>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7"/>
        <bgColor indexed="64"/>
      </patternFill>
    </fill>
    <fill>
      <patternFill patternType="solid">
        <fgColor indexed="43"/>
      </patternFill>
    </fill>
    <fill>
      <patternFill patternType="solid">
        <fgColor indexed="26"/>
      </patternFill>
    </fill>
    <fill>
      <patternFill patternType="solid">
        <fgColor rgb="FFFFFF99"/>
        <bgColor indexed="64"/>
      </patternFill>
    </fill>
    <fill>
      <patternFill patternType="solid">
        <fgColor theme="8" tint="0.7999816888943144"/>
        <bgColor indexed="64"/>
      </patternFill>
    </fill>
    <fill>
      <patternFill patternType="solid">
        <fgColor rgb="FF00FF99"/>
        <bgColor indexed="64"/>
      </patternFill>
    </fill>
    <fill>
      <patternFill patternType="solid">
        <fgColor rgb="FFFFFF00"/>
        <bgColor indexed="64"/>
      </patternFill>
    </fill>
    <fill>
      <patternFill patternType="solid">
        <fgColor theme="0" tint="-0.1499984740745262"/>
        <bgColor indexed="64"/>
      </patternFill>
    </fill>
  </fills>
  <borders count="29">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hair">
        <color indexed="64"/>
      </left>
      <right style="hair">
        <color indexed="64"/>
      </right>
      <top style="hair">
        <color indexed="64"/>
      </top>
      <bottom style="hair">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medium">
        <color rgb="FFFF0000"/>
      </top>
      <bottom/>
      <diagonal/>
    </border>
    <border>
      <left/>
      <right style="medium">
        <color rgb="FFFF0000"/>
      </right>
      <top style="medium">
        <color rgb="FFFF0000"/>
      </top>
      <bottom/>
      <diagonal/>
    </border>
    <border>
      <left/>
      <right style="medium">
        <color rgb="FFFF0000"/>
      </right>
      <top/>
      <bottom/>
      <diagonal/>
    </border>
    <border>
      <left/>
      <right/>
      <top/>
      <bottom style="medium">
        <color rgb="FFFF0000"/>
      </bottom>
      <diagonal/>
    </border>
    <border>
      <left/>
      <right style="medium">
        <color rgb="FFFF0000"/>
      </right>
      <top/>
      <bottom style="medium">
        <color rgb="FFFF0000"/>
      </bottom>
      <diagonal/>
    </border>
    <border>
      <left style="thick">
        <color rgb="FFFF0000"/>
      </left>
      <right/>
      <top style="medium">
        <color rgb="FFFF0000"/>
      </top>
      <bottom/>
      <diagonal/>
    </border>
    <border>
      <left style="thick">
        <color rgb="FFFF0000"/>
      </left>
      <right/>
      <top/>
      <bottom/>
      <diagonal/>
    </border>
    <border>
      <left style="thick">
        <color rgb="FFFF0000"/>
      </left>
      <right/>
      <top/>
      <bottom style="medium">
        <color rgb="FFFF0000"/>
      </bottom>
      <diagonal/>
    </border>
    <border>
      <left/>
      <right/>
      <top style="thin">
        <color indexed="64"/>
      </top>
      <bottom/>
      <diagonal/>
    </border>
    <border>
      <left/>
      <right style="thin">
        <color indexed="64"/>
      </right>
      <top style="thin">
        <color indexed="64"/>
      </top>
      <bottom/>
      <diagonal/>
    </border>
    <border>
      <left style="thick">
        <color rgb="FFFF0000"/>
      </left>
      <right style="medium">
        <color rgb="FFFF0000"/>
      </right>
      <top style="medium">
        <color rgb="FFFF0000"/>
      </top>
      <bottom style="medium">
        <color rgb="FFFF0000"/>
      </bottom>
      <diagonal/>
    </border>
  </borders>
  <cellStyleXfs count="56">
    <xf numFmtId="0" fontId="0" fillId="0" borderId="0"/>
    <xf numFmtId="0" fontId="23" fillId="0" borderId="0"/>
    <xf numFmtId="0" fontId="4" fillId="2" borderId="0"/>
    <xf numFmtId="0" fontId="4" fillId="3" borderId="0"/>
    <xf numFmtId="0" fontId="4" fillId="4" borderId="0"/>
    <xf numFmtId="0" fontId="4" fillId="5" borderId="0"/>
    <xf numFmtId="0" fontId="4" fillId="6" borderId="0"/>
    <xf numFmtId="0" fontId="4" fillId="7" borderId="0"/>
    <xf numFmtId="0" fontId="4" fillId="8" borderId="0"/>
    <xf numFmtId="0" fontId="4" fillId="9" borderId="0"/>
    <xf numFmtId="0" fontId="4" fillId="10" borderId="0"/>
    <xf numFmtId="0" fontId="4" fillId="5" borderId="0"/>
    <xf numFmtId="0" fontId="4" fillId="8" borderId="0"/>
    <xf numFmtId="0" fontId="4" fillId="11" borderId="0"/>
    <xf numFmtId="0" fontId="5" fillId="12" borderId="0"/>
    <xf numFmtId="0" fontId="5" fillId="9" borderId="0"/>
    <xf numFmtId="0" fontId="5" fillId="10" borderId="0"/>
    <xf numFmtId="0" fontId="5" fillId="13" borderId="0"/>
    <xf numFmtId="0" fontId="5" fillId="14" borderId="0"/>
    <xf numFmtId="0" fontId="5" fillId="15" borderId="0"/>
    <xf numFmtId="0" fontId="5" fillId="16" borderId="0"/>
    <xf numFmtId="0" fontId="5" fillId="17" borderId="0"/>
    <xf numFmtId="0" fontId="5" fillId="18" borderId="0"/>
    <xf numFmtId="0" fontId="5" fillId="13" borderId="0"/>
    <xf numFmtId="0" fontId="5" fillId="14" borderId="0"/>
    <xf numFmtId="0" fontId="5" fillId="19" borderId="0"/>
    <xf numFmtId="0" fontId="6" fillId="3" borderId="0"/>
    <xf numFmtId="0" fontId="7" fillId="20" borderId="1"/>
    <xf numFmtId="0" fontId="8" fillId="21" borderId="2"/>
    <xf numFmtId="43" fontId="4" fillId="0" borderId="0"/>
    <xf numFmtId="44" fontId="4" fillId="0" borderId="0"/>
    <xf numFmtId="166" fontId="9" fillId="22" borderId="3" applyAlignment="1" applyProtection="1">
      <alignment horizontal="right"/>
      <protection locked="0" hidden="0"/>
    </xf>
    <xf numFmtId="0" fontId="10" fillId="0" borderId="0"/>
    <xf numFmtId="0" fontId="11" fillId="4" borderId="0"/>
    <xf numFmtId="0" fontId="12" fillId="0" borderId="4"/>
    <xf numFmtId="0" fontId="13" fillId="0" borderId="5"/>
    <xf numFmtId="0" fontId="14" fillId="0" borderId="6"/>
    <xf numFmtId="0" fontId="14" fillId="0" borderId="0"/>
    <xf numFmtId="0" fontId="15" fillId="7" borderId="1"/>
    <xf numFmtId="0" fontId="16" fillId="0" borderId="7"/>
    <xf numFmtId="0" fontId="17" fillId="23" borderId="0"/>
    <xf numFmtId="0" fontId="4" fillId="0" borderId="0"/>
    <xf numFmtId="0" fontId="4" fillId="24" borderId="8"/>
    <xf numFmtId="0" fontId="18" fillId="20" borderId="9"/>
    <xf numFmtId="9" fontId="4" fillId="0" borderId="0"/>
    <xf numFmtId="0" fontId="19" fillId="0" borderId="0"/>
    <xf numFmtId="0" fontId="20" fillId="0" borderId="10"/>
    <xf numFmtId="0" fontId="21" fillId="0" borderId="0"/>
    <xf numFmtId="0" fontId="25" fillId="0" borderId="0"/>
    <xf numFmtId="15" fontId="25" fillId="0" borderId="0"/>
    <xf numFmtId="167" fontId="25" fillId="0" borderId="0"/>
    <xf numFmtId="46" fontId="25" fillId="0" borderId="0"/>
    <xf numFmtId="9" fontId="25" fillId="0" borderId="0"/>
    <xf numFmtId="43" fontId="25" fillId="0" borderId="0"/>
    <xf numFmtId="0" fontId="23" fillId="0" borderId="0"/>
    <xf numFmtId="0" fontId="23" fillId="0" borderId="0"/>
  </cellStyleXfs>
  <cellXfs count="85">
    <xf numFmtId="0" fontId="0" fillId="0" borderId="0" pivotButton="0" quotePrefix="0" xfId="0"/>
    <xf numFmtId="0" fontId="29" fillId="0" borderId="0" applyAlignment="1" pivotButton="0" quotePrefix="0" xfId="0">
      <alignment horizontal="left" vertical="top" wrapText="1"/>
    </xf>
    <xf numFmtId="0" fontId="30" fillId="0" borderId="0" applyAlignment="1" pivotButton="0" quotePrefix="0" xfId="0">
      <alignment horizontal="left" vertical="top" wrapText="1"/>
    </xf>
    <xf numFmtId="0" fontId="30" fillId="0" borderId="0" applyAlignment="1" pivotButton="0" quotePrefix="0" xfId="0">
      <alignment horizontal="left" vertical="top"/>
    </xf>
    <xf numFmtId="0" fontId="0" fillId="0" borderId="0" applyAlignment="1" pivotButton="0" quotePrefix="0" xfId="0">
      <alignment horizontal="left" vertical="top"/>
    </xf>
    <xf numFmtId="0" fontId="0" fillId="0" borderId="0" applyAlignment="1" pivotButton="0" quotePrefix="0" xfId="0">
      <alignment vertical="top"/>
    </xf>
    <xf numFmtId="0" fontId="28" fillId="25" borderId="11" applyAlignment="1" pivotButton="0" quotePrefix="0" xfId="0">
      <alignment horizontal="left" vertical="top"/>
    </xf>
    <xf numFmtId="164" fontId="28" fillId="25" borderId="11" applyAlignment="1" pivotButton="0" quotePrefix="0" xfId="0">
      <alignment horizontal="right" vertical="top"/>
    </xf>
    <xf numFmtId="0" fontId="0" fillId="0" borderId="0" applyAlignment="1" pivotButton="0" quotePrefix="0" xfId="0">
      <alignment horizontal="right" vertical="top"/>
    </xf>
    <xf numFmtId="0" fontId="28" fillId="25" borderId="11" applyAlignment="1" pivotButton="0" quotePrefix="0" xfId="0">
      <alignment horizontal="right" vertical="top"/>
    </xf>
    <xf numFmtId="0" fontId="0" fillId="0" borderId="11" applyAlignment="1" pivotButton="0" quotePrefix="0" xfId="0">
      <alignment horizontal="left" vertical="top"/>
    </xf>
    <xf numFmtId="0" fontId="0" fillId="26" borderId="11" applyAlignment="1" pivotButton="0" quotePrefix="0" xfId="0">
      <alignment horizontal="left" vertical="top" wrapText="1"/>
    </xf>
    <xf numFmtId="0" fontId="32" fillId="0" borderId="12" applyAlignment="1" pivotButton="0" quotePrefix="0" xfId="0">
      <alignment horizontal="right" vertical="top"/>
    </xf>
    <xf numFmtId="0" fontId="0" fillId="0" borderId="14" applyAlignment="1" pivotButton="0" quotePrefix="0" xfId="0">
      <alignment horizontal="left" vertical="top"/>
    </xf>
    <xf numFmtId="0" fontId="2" fillId="0" borderId="11" applyAlignment="1" pivotButton="0" quotePrefix="0" xfId="0">
      <alignment horizontal="right" vertical="top" wrapText="1"/>
    </xf>
    <xf numFmtId="0" fontId="27" fillId="0" borderId="11" applyAlignment="1" pivotButton="0" quotePrefix="0" xfId="0">
      <alignment horizontal="left" vertical="top" wrapText="1"/>
    </xf>
    <xf numFmtId="164" fontId="0" fillId="27" borderId="11" applyAlignment="1" pivotButton="0" quotePrefix="0" xfId="0">
      <alignment horizontal="right" vertical="top"/>
    </xf>
    <xf numFmtId="0" fontId="2" fillId="27" borderId="11" applyAlignment="1" pivotButton="0" quotePrefix="0" xfId="0">
      <alignment horizontal="left" vertical="top"/>
    </xf>
    <xf numFmtId="164" fontId="2" fillId="27" borderId="11" applyAlignment="1" pivotButton="0" quotePrefix="0" xfId="0">
      <alignment horizontal="right" vertical="top"/>
    </xf>
    <xf numFmtId="0" fontId="28" fillId="27" borderId="11" applyAlignment="1" pivotButton="0" quotePrefix="0" xfId="0">
      <alignment horizontal="left" vertical="top"/>
    </xf>
    <xf numFmtId="0" fontId="33" fillId="0" borderId="0" applyAlignment="1" pivotButton="0" quotePrefix="0" xfId="0">
      <alignment horizontal="right" vertical="top"/>
    </xf>
    <xf numFmtId="0" fontId="33" fillId="0" borderId="0" applyAlignment="1" pivotButton="0" quotePrefix="0" xfId="0">
      <alignment horizontal="left" vertical="top"/>
    </xf>
    <xf numFmtId="0" fontId="34" fillId="0" borderId="13" applyAlignment="1" pivotButton="0" quotePrefix="0" xfId="0">
      <alignment horizontal="center" vertical="top"/>
    </xf>
    <xf numFmtId="0" fontId="2" fillId="0" borderId="0" applyAlignment="1" pivotButton="0" quotePrefix="0" xfId="0">
      <alignment horizontal="right" vertical="top"/>
    </xf>
    <xf numFmtId="0" fontId="0" fillId="27" borderId="11" applyAlignment="1" pivotButton="0" quotePrefix="0" xfId="0">
      <alignment horizontal="left" vertical="top"/>
    </xf>
    <xf numFmtId="0" fontId="37" fillId="0" borderId="0" applyAlignment="1" pivotButton="0" quotePrefix="0" xfId="0">
      <alignment horizontal="left" vertical="top" wrapText="1"/>
    </xf>
    <xf numFmtId="164" fontId="31" fillId="27" borderId="11" applyAlignment="1" pivotButton="0" quotePrefix="0" xfId="0">
      <alignment horizontal="right" vertical="top"/>
    </xf>
    <xf numFmtId="165" fontId="0" fillId="27" borderId="11" applyAlignment="1" pivotButton="0" quotePrefix="0" xfId="0">
      <alignment horizontal="right" vertical="top"/>
    </xf>
    <xf numFmtId="165" fontId="0" fillId="0" borderId="0" applyAlignment="1" pivotButton="0" quotePrefix="0" xfId="0">
      <alignment horizontal="right" vertical="top"/>
    </xf>
    <xf numFmtId="164" fontId="0" fillId="26" borderId="11" applyAlignment="1" pivotButton="0" quotePrefix="0" xfId="0">
      <alignment horizontal="right" vertical="top"/>
    </xf>
    <xf numFmtId="0" fontId="26" fillId="26" borderId="11" applyAlignment="1" pivotButton="0" quotePrefix="0" xfId="0">
      <alignment horizontal="left" vertical="center" wrapText="1"/>
    </xf>
    <xf numFmtId="0" fontId="26" fillId="25" borderId="11" applyAlignment="1" pivotButton="0" quotePrefix="0" xfId="0">
      <alignment horizontal="left" vertical="center"/>
    </xf>
    <xf numFmtId="0" fontId="26" fillId="27" borderId="11" applyAlignment="1" pivotButton="0" quotePrefix="0" xfId="0">
      <alignment horizontal="left" vertical="center"/>
    </xf>
    <xf numFmtId="0" fontId="2" fillId="0" borderId="0" applyAlignment="1" pivotButton="0" quotePrefix="0" xfId="0">
      <alignment horizontal="right" vertical="center"/>
    </xf>
    <xf numFmtId="0" fontId="24" fillId="0" borderId="0" applyAlignment="1" pivotButton="0" quotePrefix="0" xfId="54">
      <alignment horizontal="left" vertical="top" wrapText="1"/>
    </xf>
    <xf numFmtId="0" fontId="22" fillId="0" borderId="0" applyAlignment="1" pivotButton="0" quotePrefix="0" xfId="54">
      <alignment horizontal="left" vertical="top" wrapText="1"/>
    </xf>
    <xf numFmtId="0" fontId="31" fillId="0" borderId="11" applyAlignment="1" pivotButton="0" quotePrefix="0" xfId="0">
      <alignment horizontal="left" vertical="top"/>
    </xf>
    <xf numFmtId="164" fontId="42" fillId="25" borderId="11" applyAlignment="1" pivotButton="0" quotePrefix="0" xfId="0">
      <alignment horizontal="right" vertical="top"/>
    </xf>
    <xf numFmtId="0" fontId="0" fillId="26" borderId="16" applyAlignment="1" pivotButton="0" quotePrefix="0" xfId="0">
      <alignment vertical="top" wrapText="1"/>
    </xf>
    <xf numFmtId="0" fontId="0" fillId="27" borderId="16" applyAlignment="1" pivotButton="0" quotePrefix="0" xfId="0">
      <alignment vertical="center" wrapText="1"/>
    </xf>
    <xf numFmtId="0" fontId="0" fillId="0" borderId="11" applyAlignment="1" pivotButton="0" quotePrefix="0" xfId="0">
      <alignment horizontal="center" vertical="center"/>
    </xf>
    <xf numFmtId="164" fontId="0" fillId="27" borderId="16" applyAlignment="1" pivotButton="0" quotePrefix="0" xfId="0">
      <alignment horizontal="right" vertical="top"/>
    </xf>
    <xf numFmtId="0" fontId="0" fillId="0" borderId="16" applyAlignment="1" pivotButton="0" quotePrefix="0" xfId="0">
      <alignment horizontal="center" vertical="center"/>
    </xf>
    <xf numFmtId="0" fontId="29" fillId="0" borderId="11" applyAlignment="1" pivotButton="0" quotePrefix="0" xfId="0">
      <alignment vertical="top" wrapText="1"/>
    </xf>
    <xf numFmtId="38" fontId="2" fillId="26" borderId="11" applyAlignment="1" pivotButton="0" quotePrefix="0" xfId="0">
      <alignment horizontal="right" vertical="top"/>
    </xf>
    <xf numFmtId="38" fontId="2" fillId="26" borderId="11" applyAlignment="1" pivotButton="0" quotePrefix="0" xfId="0">
      <alignment horizontal="centerContinuous" vertical="top" wrapText="1"/>
    </xf>
    <xf numFmtId="0" fontId="36" fillId="0" borderId="11" applyAlignment="1" pivotButton="0" quotePrefix="0" xfId="0">
      <alignment vertical="top" wrapText="1"/>
    </xf>
    <xf numFmtId="0" fontId="0" fillId="0" borderId="0" applyAlignment="1" pivotButton="0" quotePrefix="0" xfId="0">
      <alignment vertical="top" wrapText="1"/>
    </xf>
    <xf numFmtId="0" fontId="0" fillId="29" borderId="11" applyAlignment="1" pivotButton="0" quotePrefix="0" xfId="0">
      <alignment horizontal="center" vertical="top" wrapText="1"/>
    </xf>
    <xf numFmtId="0" fontId="39" fillId="26" borderId="11" applyAlignment="1" pivotButton="0" quotePrefix="0" xfId="0">
      <alignment vertical="top" wrapText="1"/>
    </xf>
    <xf numFmtId="0" fontId="2" fillId="28" borderId="11" applyAlignment="1" pivotButton="0" quotePrefix="0" xfId="0">
      <alignment horizontal="right" vertical="top" wrapText="1"/>
    </xf>
    <xf numFmtId="0" fontId="0" fillId="28" borderId="11" applyAlignment="1" pivotButton="0" quotePrefix="0" xfId="0">
      <alignment horizontal="left" vertical="top"/>
    </xf>
    <xf numFmtId="0" fontId="28" fillId="25" borderId="16" applyAlignment="1" pivotButton="0" quotePrefix="0" xfId="0">
      <alignment horizontal="left" vertical="top" wrapText="1"/>
    </xf>
    <xf numFmtId="0" fontId="28" fillId="25" borderId="17" applyAlignment="1" pivotButton="0" quotePrefix="0" xfId="0">
      <alignment horizontal="left" vertical="top" wrapText="1"/>
    </xf>
    <xf numFmtId="0" fontId="28" fillId="25" borderId="15" applyAlignment="1" pivotButton="0" quotePrefix="0" xfId="0">
      <alignment horizontal="left" vertical="top" wrapText="1"/>
    </xf>
    <xf numFmtId="0" fontId="27" fillId="0" borderId="11" applyAlignment="1" pivotButton="0" quotePrefix="0" xfId="0">
      <alignment horizontal="left" vertical="top" wrapText="1"/>
    </xf>
    <xf numFmtId="0" fontId="35" fillId="28" borderId="23" applyAlignment="1" pivotButton="0" quotePrefix="0" xfId="0">
      <alignment horizontal="center" vertical="center" wrapText="1"/>
    </xf>
    <xf numFmtId="0" fontId="35" fillId="28" borderId="18" applyAlignment="1" pivotButton="0" quotePrefix="0" xfId="0">
      <alignment horizontal="center" vertical="center" wrapText="1"/>
    </xf>
    <xf numFmtId="0" fontId="35" fillId="28" borderId="19" applyAlignment="1" pivotButton="0" quotePrefix="0" xfId="0">
      <alignment horizontal="center" vertical="center" wrapText="1"/>
    </xf>
    <xf numFmtId="0" fontId="35" fillId="28" borderId="24" applyAlignment="1" pivotButton="0" quotePrefix="0" xfId="0">
      <alignment horizontal="center" vertical="center" wrapText="1"/>
    </xf>
    <xf numFmtId="0" fontId="35" fillId="28" borderId="0" applyAlignment="1" pivotButton="0" quotePrefix="0" xfId="0">
      <alignment horizontal="center" vertical="center" wrapText="1"/>
    </xf>
    <xf numFmtId="0" fontId="35" fillId="28" borderId="20" applyAlignment="1" pivotButton="0" quotePrefix="0" xfId="0">
      <alignment horizontal="center" vertical="center" wrapText="1"/>
    </xf>
    <xf numFmtId="0" fontId="35" fillId="28" borderId="25" applyAlignment="1" pivotButton="0" quotePrefix="0" xfId="0">
      <alignment horizontal="center" vertical="center" wrapText="1"/>
    </xf>
    <xf numFmtId="0" fontId="35" fillId="28" borderId="21" applyAlignment="1" pivotButton="0" quotePrefix="0" xfId="0">
      <alignment horizontal="center" vertical="center" wrapText="1"/>
    </xf>
    <xf numFmtId="0" fontId="35" fillId="28" borderId="22" applyAlignment="1" pivotButton="0" quotePrefix="0" xfId="0">
      <alignment horizontal="center" vertical="center" wrapText="1"/>
    </xf>
    <xf numFmtId="0" fontId="35" fillId="28" borderId="28" applyAlignment="1" pivotButton="0" quotePrefix="0" xfId="0">
      <alignment horizontal="center" vertical="center" wrapText="1"/>
    </xf>
    <xf numFmtId="0" fontId="0" fillId="0" borderId="18" pivotButton="0" quotePrefix="0" xfId="0"/>
    <xf numFmtId="0" fontId="0" fillId="0" borderId="19" pivotButton="0" quotePrefix="0" xfId="0"/>
    <xf numFmtId="0" fontId="0" fillId="0" borderId="24" pivotButton="0" quotePrefix="0" xfId="0"/>
    <xf numFmtId="0" fontId="0" fillId="0" borderId="20" pivotButton="0" quotePrefix="0" xfId="0"/>
    <xf numFmtId="0" fontId="0" fillId="0" borderId="25" pivotButton="0" quotePrefix="0" xfId="0"/>
    <xf numFmtId="0" fontId="0" fillId="0" borderId="21" pivotButton="0" quotePrefix="0" xfId="0"/>
    <xf numFmtId="0" fontId="0" fillId="0" borderId="22" pivotButton="0" quotePrefix="0" xfId="0"/>
    <xf numFmtId="0" fontId="0" fillId="0" borderId="17" pivotButton="0" quotePrefix="0" xfId="0"/>
    <xf numFmtId="0" fontId="0" fillId="0" borderId="15" pivotButton="0" quotePrefix="0" xfId="0"/>
    <xf numFmtId="164" fontId="28" fillId="25" borderId="11" applyAlignment="1" pivotButton="0" quotePrefix="0" xfId="0">
      <alignment horizontal="right" vertical="top"/>
    </xf>
    <xf numFmtId="164" fontId="0" fillId="27" borderId="11" applyAlignment="1" pivotButton="0" quotePrefix="0" xfId="0">
      <alignment horizontal="right" vertical="top"/>
    </xf>
    <xf numFmtId="164" fontId="2" fillId="27" borderId="11" applyAlignment="1" pivotButton="0" quotePrefix="0" xfId="0">
      <alignment horizontal="right" vertical="top"/>
    </xf>
    <xf numFmtId="164" fontId="42" fillId="25" borderId="11" applyAlignment="1" pivotButton="0" quotePrefix="0" xfId="0">
      <alignment horizontal="right" vertical="top"/>
    </xf>
    <xf numFmtId="164" fontId="31" fillId="27" borderId="11" applyAlignment="1" pivotButton="0" quotePrefix="0" xfId="0">
      <alignment horizontal="right" vertical="top"/>
    </xf>
    <xf numFmtId="165" fontId="0" fillId="27" borderId="11" applyAlignment="1" pivotButton="0" quotePrefix="0" xfId="0">
      <alignment horizontal="right" vertical="top"/>
    </xf>
    <xf numFmtId="165" fontId="0" fillId="0" borderId="0" applyAlignment="1" pivotButton="0" quotePrefix="0" xfId="0">
      <alignment horizontal="right" vertical="top"/>
    </xf>
    <xf numFmtId="164" fontId="0" fillId="26" borderId="11" applyAlignment="1" pivotButton="0" quotePrefix="0" xfId="0">
      <alignment horizontal="right" vertical="top"/>
    </xf>
    <xf numFmtId="164" fontId="0" fillId="27" borderId="16" applyAlignment="1" pivotButton="0" quotePrefix="0" xfId="0">
      <alignment horizontal="right" vertical="top"/>
    </xf>
    <xf numFmtId="0" fontId="28" fillId="25" borderId="11" applyAlignment="1" pivotButton="0" quotePrefix="0" xfId="0">
      <alignment horizontal="left" vertical="top" wrapText="1"/>
    </xf>
  </cellXfs>
  <cellStyles count="56">
    <cellStyle name="Normal" xfId="0" builtinId="0"/>
    <cellStyle name="Normal 4" xfId="1"/>
    <cellStyle name="20% - Accent1 2" xfId="2"/>
    <cellStyle name="20% - Accent2 2" xfId="3"/>
    <cellStyle name="20% - Accent3 2" xfId="4"/>
    <cellStyle name="20% - Accent4 2" xfId="5"/>
    <cellStyle name="20% - Accent5 2" xfId="6"/>
    <cellStyle name="20% - Accent6 2" xfId="7"/>
    <cellStyle name="40% - Accent1 2" xfId="8"/>
    <cellStyle name="40% - Accent2 2" xfId="9"/>
    <cellStyle name="40% - Accent3 2" xfId="10"/>
    <cellStyle name="40% - Accent4 2" xfId="11"/>
    <cellStyle name="40% - Accent5 2" xfId="12"/>
    <cellStyle name="40% - Accent6 2" xfId="13"/>
    <cellStyle name="60% - Accent1 2" xfId="14"/>
    <cellStyle name="60% - Accent2 2" xfId="15"/>
    <cellStyle name="60% - Accent3 2" xfId="16"/>
    <cellStyle name="60% - Accent4 2" xfId="17"/>
    <cellStyle name="60% - Accent5 2" xfId="18"/>
    <cellStyle name="60% - Accent6 2" xfId="19"/>
    <cellStyle name="Accent1 2" xfId="20"/>
    <cellStyle name="Accent2 2" xfId="21"/>
    <cellStyle name="Accent3 2" xfId="22"/>
    <cellStyle name="Accent4 2" xfId="23"/>
    <cellStyle name="Accent5 2" xfId="24"/>
    <cellStyle name="Accent6 2" xfId="25"/>
    <cellStyle name="Bad 2" xfId="26"/>
    <cellStyle name="Calculation 2" xfId="27"/>
    <cellStyle name="Check Cell 2" xfId="28"/>
    <cellStyle name="Comma 2" xfId="29"/>
    <cellStyle name="Currency 2" xfId="30"/>
    <cellStyle name="DATA Date Long" xfId="31"/>
    <cellStyle name="Explanatory Text 2" xfId="32"/>
    <cellStyle name="Good 2" xfId="33"/>
    <cellStyle name="Heading 1 2" xfId="34"/>
    <cellStyle name="Heading 2 2" xfId="35"/>
    <cellStyle name="Heading 3 2" xfId="36"/>
    <cellStyle name="Heading 4 2" xfId="37"/>
    <cellStyle name="Input 2" xfId="38"/>
    <cellStyle name="Linked Cell 2" xfId="39"/>
    <cellStyle name="Neutral 2" xfId="40"/>
    <cellStyle name="Normal 2" xfId="41"/>
    <cellStyle name="Note 2" xfId="42"/>
    <cellStyle name="Output 2" xfId="43"/>
    <cellStyle name="Percent 2" xfId="44"/>
    <cellStyle name="Title 2" xfId="45"/>
    <cellStyle name="Total 2" xfId="46"/>
    <cellStyle name="Warning Text 2" xfId="47"/>
    <cellStyle name="Normal 3" xfId="48"/>
    <cellStyle name="Date" xfId="49"/>
    <cellStyle name="DateTime" xfId="50"/>
    <cellStyle name="Time" xfId="51"/>
    <cellStyle name="Percent 3" xfId="52"/>
    <cellStyle name="Comma 3" xfId="53"/>
    <cellStyle name="Normal 5" xfId="54"/>
    <cellStyle name="Normal 5 2" xfId="55"/>
  </cellStyles>
  <dxfs count="2">
    <dxf>
      <fill>
        <patternFill>
          <bgColor rgb="FF9AFC24"/>
        </patternFill>
      </fill>
    </dxf>
    <dxf>
      <fill>
        <patternFill>
          <bgColor rgb="FFFF000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7"/>
  <sheetViews>
    <sheetView showGridLines="0" tabSelected="1" zoomScale="70" zoomScaleNormal="70" workbookViewId="0">
      <selection activeCell="A4" sqref="A4"/>
    </sheetView>
  </sheetViews>
  <sheetFormatPr baseColWidth="8" defaultColWidth="9.140625" defaultRowHeight="15"/>
  <cols>
    <col width="225.28515625" customWidth="1" style="5" min="1" max="1"/>
    <col width="9.140625" customWidth="1" style="5" min="2" max="16384"/>
  </cols>
  <sheetData>
    <row r="1" ht="72" customHeight="1">
      <c r="A1" s="49" t="inlineStr">
        <is>
          <t>Commercial Schedule – Procurement for the Provision of Primary Medical Services (General Practice) under APMS Contract Arrangements for Lot 4 Sudbury Surgery on behalf of NHS West &amp; North London Integrated Care Board</t>
        </is>
      </c>
    </row>
    <row r="2" ht="23.25" customFormat="1" customHeight="1" s="47">
      <c r="A2" s="46" t="inlineStr">
        <is>
          <t>Notes to Bidders on completing this Commercial Schedule - PLEASE READ</t>
        </is>
      </c>
    </row>
    <row r="3" ht="72.75" customFormat="1" customHeight="1" s="47">
      <c r="A3" s="43" t="inlineStr">
        <is>
          <t>(a) WHAT YOU MUST DO - All bidders are requested to complete the Commercial Schedule within this Excel file.
Providing no information, or insufficient information is likely to render your bid as non-compliant.</t>
        </is>
      </c>
    </row>
    <row r="4" ht="126.75" customFormat="1" customHeight="1" s="47">
      <c r="A4" s="43" t="inlineStr">
        <is>
          <t>(b) ASSUMPTIONS - the following assumptions apply to this procurement and specifically to your completion of this Commercial Schedule for the above tender:
 - The Relevant Authority has defined an assumed level of activity associated with the service to be delivered by the successful bidder for each year. These are detailed within section 1 of the Commercial Schedule.
 - that the bidder is able to deliver efficiencies during the contract term that is able to be passed through to the Relevant Authority these being reflected in the prices for the 5 years. 
- for planning purposes the model assumes a 3% annual uplift. This is based on the NHSE non-NHS uplift for 22/23. The actual uplift applied to the contract will be based on the NHSE non-NHS uplift when published.
 - that the bidder has taken reasonable due diligence in its assumptions regarding TUPE costs and factored these into the bid prices.
 - that each year shown represents a full 12-month period, from the commencement date of the new service.</t>
        </is>
      </c>
    </row>
    <row r="5" ht="86.25" customFormat="1" customHeight="1" s="47">
      <c r="A5" s="43" t="inlineStr">
        <is>
          <t>(c) EXPECTATIONS - in the completion and submission of your completed Commercial Schedule, the Relevant Authority has the following expectations from bidders:
 - That the bidder is able to demonstrate increasing financial efficiencies throughout the term of the 5 year contract, this being reflected in the prices for the 5 years.
 - that pay costs include ALL costs borne by the bidder, i.e. including pensions, NI and all liabilities and the bidder's anticipated changes to workforce salaries and wages during the term of the contract.
 - Where central / overhead costs are being taken into account, that these are an apportioned element of the bidder's running costs only, i.e. not the complete costs of running the bidder's business.</t>
        </is>
      </c>
    </row>
    <row r="6" ht="108" customFormat="1" customHeight="1" s="47">
      <c r="A6" s="43" t="inlineStr">
        <is>
          <t>(d) HOW PRICES WILL BE APPLIED
- The breakdown of costs to be provided by bidders through this Commercial Schedule will provide the Relevant Authority with assurance that the prices being tendered are reasonable and sufficient.
 - Whilst the assumed activity levels defined by the Relevant Authority have been provided for the purposes of ensuring like for like evaluation of prices from bidders, the Relevant Authority will pay for the services on the basis of the contractual terms defined within the Service Specification.</t>
        </is>
      </c>
    </row>
    <row r="7" ht="206.25" customFormat="1" customHeight="1" s="47">
      <c r="A7" s="43" t="inlineStr">
        <is>
          <t>(e) ENSURE YOUR BID IS COMPLIANT - For your bid to be received as Compliant, please ensure that you:
 - confirm WTE workforce details and numbers (section 2)
 - confirm complete workforce costs by staff type/grade for EACH of the 5 years (section 3)
 - confirm additional adjustments you are taking account of for TUPE (section 4)
- confirm direct and in-direct overheads (section 5)
 - confirm details and costs associated with all other pay costs, such as management &amp; overheads (section 6)
 - confirm details and costs for all non-pay costs (section 7)
 - insert your Bid Prices (section 8)
 - check that the total of your tendering Prices for each of the 5 years is below the  Maximum Affordability Threshold (section 9)
 - all monetary values must be GB Pounds Sterling (£)
 - all prices should include applicable VAT.</t>
        </is>
      </c>
    </row>
    <row r="8" ht="73.5" customFormat="1" customHeight="1" s="47">
      <c r="A8" s="43" t="inlineStr">
        <is>
          <t>(f) EVALUATION METHODOLOGY - The Relevant Authority will evaluate your bid submission in accordance with the evaluation criteria and scoring methodology as per the Instructions and Guidance and this Commercial Schedule.</t>
        </is>
      </c>
    </row>
    <row r="9" ht="58.5" customFormat="1" customHeight="1" s="47">
      <c r="A9" s="43" t="inlineStr">
        <is>
          <t>(g) SAVE YOUR FILE LOCALLY!  When completing this document, ensure that you save a copy to your local computer before submission.</t>
        </is>
      </c>
    </row>
    <row r="10" ht="71.25" customFormat="1" customHeight="1" s="47">
      <c r="A10" s="43" t="inlineStr">
        <is>
          <t>(h) QUESTIONS? If you have any questions or concerns, please raise these with the Relevant Authority as a Clarification Question as soon as possible, and before the final date for such Clarification Questions, as defined within Procurement Timetable outlined within the ITT Document - Bidder Instructions</t>
        </is>
      </c>
    </row>
    <row r="11" customFormat="1" s="47">
      <c r="A11" s="48" t="inlineStr">
        <is>
          <t>End of notes</t>
        </is>
      </c>
    </row>
    <row r="17">
      <c r="A17" s="34" t="n"/>
      <c r="B17" s="34" t="n"/>
      <c r="C17" s="34" t="n"/>
      <c r="D17" s="34" t="n"/>
      <c r="E17" s="34" t="n"/>
      <c r="F17" s="34" t="n"/>
      <c r="G17" s="34" t="n"/>
      <c r="H17" s="34" t="n"/>
      <c r="I17" s="34" t="n"/>
      <c r="J17" s="35" t="n"/>
      <c r="K17" s="35" t="n"/>
    </row>
  </sheetData>
  <pageMargins left="0.7086614173228347" right="0.7086614173228347" top="0.7480314960629921" bottom="0.7480314960629921" header="0.3149606299212598" footer="0.3149606299212598"/>
  <pageSetup orientation="portrait" paperSize="9"/>
  <rowBreaks count="1" manualBreakCount="1">
    <brk id="5" min="0" max="16383" man="1"/>
  </rowBreaks>
</worksheet>
</file>

<file path=xl/worksheets/sheet2.xml><?xml version="1.0" encoding="utf-8"?>
<worksheet xmlns="http://schemas.openxmlformats.org/spreadsheetml/2006/main">
  <sheetPr>
    <outlinePr summaryBelow="1" summaryRight="1"/>
    <pageSetUpPr fitToPage="1"/>
  </sheetPr>
  <dimension ref="A1:H150"/>
  <sheetViews>
    <sheetView showGridLines="0" topLeftCell="A105" zoomScale="70" zoomScaleNormal="70" workbookViewId="0">
      <selection activeCell="C135" sqref="C135"/>
    </sheetView>
  </sheetViews>
  <sheetFormatPr baseColWidth="8" defaultColWidth="9.140625" defaultRowHeight="15"/>
  <cols>
    <col width="49.28515625" bestFit="1" customWidth="1" style="4" min="1" max="1"/>
    <col width="77.28515625" customWidth="1" style="4" min="2" max="2"/>
    <col width="14" bestFit="1" customWidth="1" style="4" min="3" max="5"/>
    <col width="13.140625" bestFit="1" customWidth="1" style="4" min="6" max="6"/>
    <col width="14" bestFit="1" customWidth="1" style="4" min="7" max="7"/>
    <col width="15" bestFit="1" customWidth="1" style="4" min="8" max="8"/>
    <col width="9.140625" customWidth="1" style="4" min="9" max="16384"/>
  </cols>
  <sheetData>
    <row r="1" ht="26.25" customHeight="1">
      <c r="A1" s="20" t="inlineStr">
        <is>
          <t>Commercial Schedule:</t>
        </is>
      </c>
      <c r="B1" s="21" t="inlineStr">
        <is>
          <t>Delivery of 100% of base-line activity</t>
        </is>
      </c>
    </row>
    <row r="2" ht="15.75" customHeight="1" thickBot="1">
      <c r="A2" t="inlineStr">
        <is>
          <t>BIDDER: High Med Ltd (lead) + Dr Singh Hammond Road - Lot 4 Sudbury Surgery (E84685)</t>
        </is>
      </c>
    </row>
    <row r="3" ht="39.75" customHeight="1">
      <c r="A3" s="12" t="n"/>
      <c r="B3" s="30" t="inlineStr">
        <is>
          <t>Information provided / defined by Contracting Authority</t>
        </is>
      </c>
      <c r="D3" s="65" t="inlineStr">
        <is>
          <t>Please follow all instructions shown in RED font, inputting information within the Yellow cells.
This Worksheet (Pricing Matrix) assumes delivery of the 100% base-line activity as defined by the Contracting Authority.</t>
        </is>
      </c>
      <c r="E3" s="66" t="n"/>
      <c r="F3" s="66" t="n"/>
      <c r="G3" s="66" t="n"/>
      <c r="H3" s="67" t="n"/>
    </row>
    <row r="4" ht="39.75" customHeight="1">
      <c r="A4" s="22" t="inlineStr">
        <is>
          <t>Colour coding:</t>
        </is>
      </c>
      <c r="B4" s="31" t="inlineStr">
        <is>
          <t>Bidder data entry cell</t>
        </is>
      </c>
      <c r="D4" s="68" t="n"/>
      <c r="H4" s="69" t="n"/>
    </row>
    <row r="5" ht="39.75" customHeight="1" thickBot="1">
      <c r="A5" s="13" t="n"/>
      <c r="B5" s="32" t="inlineStr">
        <is>
          <t>Totals and other auto-calculations and replications</t>
        </is>
      </c>
      <c r="D5" s="70" t="n"/>
      <c r="E5" s="71" t="n"/>
      <c r="F5" s="71" t="n"/>
      <c r="G5" s="71" t="n"/>
      <c r="H5" s="72" t="n"/>
    </row>
    <row r="7" ht="30" customHeight="1">
      <c r="C7" s="50" t="inlineStr">
        <is>
          <t xml:space="preserve">Year 1
</t>
        </is>
      </c>
      <c r="D7" s="50" t="inlineStr">
        <is>
          <t xml:space="preserve">Year 2
</t>
        </is>
      </c>
      <c r="E7" s="50" t="inlineStr">
        <is>
          <t xml:space="preserve">Year 3
</t>
        </is>
      </c>
      <c r="F7" s="50" t="inlineStr">
        <is>
          <t xml:space="preserve">Year 4
</t>
        </is>
      </c>
      <c r="G7" s="50" t="inlineStr">
        <is>
          <t>Year 5</t>
        </is>
      </c>
      <c r="H7" s="14" t="inlineStr">
        <is>
          <t>5 year Total</t>
        </is>
      </c>
    </row>
    <row r="8" ht="31.5" customHeight="1">
      <c r="A8" s="1" t="inlineStr">
        <is>
          <t>1.Activity assumptions
(defined by Relevant Authority)</t>
        </is>
      </c>
      <c r="B8" s="11" t="inlineStr">
        <is>
          <t>Number of Patients Supported</t>
        </is>
      </c>
      <c r="C8" s="45" t="inlineStr">
        <is>
          <t>as per the quarterly practice raw and normalised weighted list size</t>
        </is>
      </c>
      <c r="D8" s="45" t="n"/>
      <c r="E8" s="45" t="n"/>
      <c r="F8" s="45" t="n"/>
      <c r="G8" s="45" t="n"/>
      <c r="H8" s="44">
        <f>SUM(C8:G8)</f>
        <v/>
      </c>
    </row>
    <row r="9">
      <c r="C9" s="8" t="n"/>
      <c r="D9" s="8" t="n"/>
      <c r="E9" s="8" t="n"/>
      <c r="F9" s="8" t="n"/>
      <c r="G9" s="8" t="n"/>
      <c r="H9" s="8" t="n"/>
    </row>
    <row r="11" ht="15.75" customHeight="1">
      <c r="A11" s="2" t="inlineStr">
        <is>
          <t>2. Bidder's assumptions: Direct Workforce</t>
        </is>
      </c>
      <c r="B11" s="55" t="inlineStr">
        <is>
          <t>Detail below categories and roles of workforce including grades, then provide on the right, Whole Time Equivalent (WTE) numbers to deliver the service.
E.g. Medical Doctor - Consultant Grade, Medical Doctor - GP, Nursing, Healthcare Assistant - Band 3, Admin - Reception, Manager - Operational, etc.
The details you enter below, will be replicated within the corresponding Cost Assumptions section for Workforce immediately below.</t>
        </is>
      </c>
      <c r="C11" s="73" t="n"/>
      <c r="D11" s="73" t="n"/>
      <c r="E11" s="73" t="n"/>
      <c r="F11" s="73" t="n"/>
      <c r="G11" s="74" t="n"/>
    </row>
    <row r="12">
      <c r="B12" s="6" t="inlineStr">
        <is>
          <t>Lead GP (transferring)</t>
        </is>
      </c>
      <c r="C12" s="9" t="inlineStr">
        <is>
          <t>WTE</t>
        </is>
      </c>
      <c r="D12" s="9" t="inlineStr">
        <is>
          <t>WTE</t>
        </is>
      </c>
      <c r="E12" s="9" t="inlineStr">
        <is>
          <t>WTE</t>
        </is>
      </c>
      <c r="F12" s="9" t="inlineStr">
        <is>
          <t>WTE</t>
        </is>
      </c>
      <c r="G12" s="9" t="inlineStr">
        <is>
          <t>WTE</t>
        </is>
      </c>
    </row>
    <row r="13">
      <c r="B13" s="6" t="inlineStr">
        <is>
          <t>Salaried GP (37.5 hrs) - vacancy to recruit</t>
        </is>
      </c>
      <c r="C13" s="9" t="inlineStr">
        <is>
          <t>WTE</t>
        </is>
      </c>
      <c r="D13" s="9" t="inlineStr">
        <is>
          <t>WTE</t>
        </is>
      </c>
      <c r="E13" s="9" t="inlineStr">
        <is>
          <t>WTE</t>
        </is>
      </c>
      <c r="F13" s="9" t="inlineStr">
        <is>
          <t>WTE</t>
        </is>
      </c>
      <c r="G13" s="9" t="inlineStr">
        <is>
          <t>WTE</t>
        </is>
      </c>
    </row>
    <row r="14">
      <c r="B14" s="6" t="inlineStr">
        <is>
          <t>Salaried GP (20 hrs) - vacancy to recruit</t>
        </is>
      </c>
      <c r="C14" s="9" t="inlineStr">
        <is>
          <t>WTE</t>
        </is>
      </c>
      <c r="D14" s="9" t="inlineStr">
        <is>
          <t>WTE</t>
        </is>
      </c>
      <c r="E14" s="9" t="inlineStr">
        <is>
          <t>WTE</t>
        </is>
      </c>
      <c r="F14" s="9" t="inlineStr">
        <is>
          <t>WTE</t>
        </is>
      </c>
      <c r="G14" s="9" t="inlineStr">
        <is>
          <t>WTE</t>
        </is>
      </c>
    </row>
    <row r="15">
      <c r="B15" s="6" t="inlineStr">
        <is>
          <t>Practice Nurse (37.5 hrs) - vacancy to recruit</t>
        </is>
      </c>
      <c r="C15" s="9" t="inlineStr">
        <is>
          <t>WTE</t>
        </is>
      </c>
      <c r="D15" s="9" t="inlineStr">
        <is>
          <t>WTE</t>
        </is>
      </c>
      <c r="E15" s="9" t="inlineStr">
        <is>
          <t>WTE</t>
        </is>
      </c>
      <c r="F15" s="9" t="inlineStr">
        <is>
          <t>WTE</t>
        </is>
      </c>
      <c r="G15" s="9" t="inlineStr">
        <is>
          <t>WTE</t>
        </is>
      </c>
    </row>
    <row r="16">
      <c r="B16" s="6" t="inlineStr">
        <is>
          <t>Healthcare Assistant (transferring)</t>
        </is>
      </c>
      <c r="C16" s="9" t="inlineStr">
        <is>
          <t>WTE</t>
        </is>
      </c>
      <c r="D16" s="9" t="inlineStr">
        <is>
          <t>WTE</t>
        </is>
      </c>
      <c r="E16" s="9" t="inlineStr">
        <is>
          <t>WTE</t>
        </is>
      </c>
      <c r="F16" s="9" t="inlineStr">
        <is>
          <t>WTE</t>
        </is>
      </c>
      <c r="G16" s="9" t="inlineStr">
        <is>
          <t>WTE</t>
        </is>
      </c>
    </row>
    <row r="17">
      <c r="B17" s="6" t="inlineStr">
        <is>
          <t>Phlebotomist 1 (transferring)</t>
        </is>
      </c>
      <c r="C17" s="9" t="inlineStr">
        <is>
          <t>WTE</t>
        </is>
      </c>
      <c r="D17" s="9" t="inlineStr">
        <is>
          <t>WTE</t>
        </is>
      </c>
      <c r="E17" s="9" t="inlineStr">
        <is>
          <t>WTE</t>
        </is>
      </c>
      <c r="F17" s="9" t="inlineStr">
        <is>
          <t>WTE</t>
        </is>
      </c>
      <c r="G17" s="9" t="inlineStr">
        <is>
          <t>WTE</t>
        </is>
      </c>
    </row>
    <row r="18">
      <c r="B18" s="6" t="inlineStr">
        <is>
          <t>Phlebotomist 2 (transferring)</t>
        </is>
      </c>
      <c r="C18" s="9" t="inlineStr">
        <is>
          <t>WTE</t>
        </is>
      </c>
      <c r="D18" s="9" t="inlineStr">
        <is>
          <t>WTE</t>
        </is>
      </c>
      <c r="E18" s="9" t="inlineStr">
        <is>
          <t>WTE</t>
        </is>
      </c>
      <c r="F18" s="9" t="inlineStr">
        <is>
          <t>WTE</t>
        </is>
      </c>
      <c r="G18" s="9" t="inlineStr">
        <is>
          <t>WTE</t>
        </is>
      </c>
    </row>
    <row r="19">
      <c r="B19" s="6" t="inlineStr">
        <is>
          <t>Practice Manager (transferring)</t>
        </is>
      </c>
      <c r="C19" s="9" t="inlineStr">
        <is>
          <t>WTE</t>
        </is>
      </c>
      <c r="D19" s="9" t="inlineStr">
        <is>
          <t>WTE</t>
        </is>
      </c>
      <c r="E19" s="9" t="inlineStr">
        <is>
          <t>WTE</t>
        </is>
      </c>
      <c r="F19" s="9" t="inlineStr">
        <is>
          <t>WTE</t>
        </is>
      </c>
      <c r="G19" s="9" t="inlineStr">
        <is>
          <t>WTE</t>
        </is>
      </c>
    </row>
    <row r="20">
      <c r="B20" s="6" t="inlineStr">
        <is>
          <t>Deputy Practice Manager (transferring)</t>
        </is>
      </c>
      <c r="C20" s="9" t="inlineStr">
        <is>
          <t>WTE</t>
        </is>
      </c>
      <c r="D20" s="9" t="inlineStr">
        <is>
          <t>WTE</t>
        </is>
      </c>
      <c r="E20" s="9" t="inlineStr">
        <is>
          <t>WTE</t>
        </is>
      </c>
      <c r="F20" s="9" t="inlineStr">
        <is>
          <t>WTE</t>
        </is>
      </c>
      <c r="G20" s="9" t="inlineStr">
        <is>
          <t>WTE</t>
        </is>
      </c>
    </row>
    <row r="21">
      <c r="B21" s="6" t="inlineStr">
        <is>
          <t>Reception/Admin 1 (transferring)</t>
        </is>
      </c>
      <c r="C21" s="9" t="inlineStr">
        <is>
          <t>WTE</t>
        </is>
      </c>
      <c r="D21" s="9" t="inlineStr">
        <is>
          <t>WTE</t>
        </is>
      </c>
      <c r="E21" s="9" t="inlineStr">
        <is>
          <t>WTE</t>
        </is>
      </c>
      <c r="F21" s="9" t="inlineStr">
        <is>
          <t>WTE</t>
        </is>
      </c>
      <c r="G21" s="9" t="inlineStr">
        <is>
          <t>WTE</t>
        </is>
      </c>
    </row>
    <row r="22">
      <c r="B22" s="6" t="inlineStr">
        <is>
          <t>Reception/Admin 2 (transferring)</t>
        </is>
      </c>
      <c r="C22" s="9" t="inlineStr">
        <is>
          <t>WTE</t>
        </is>
      </c>
      <c r="D22" s="9" t="inlineStr">
        <is>
          <t>WTE</t>
        </is>
      </c>
      <c r="E22" s="9" t="inlineStr">
        <is>
          <t>WTE</t>
        </is>
      </c>
      <c r="F22" s="9" t="inlineStr">
        <is>
          <t>WTE</t>
        </is>
      </c>
      <c r="G22" s="9" t="inlineStr">
        <is>
          <t>WTE</t>
        </is>
      </c>
    </row>
    <row r="23">
      <c r="B23" s="6" t="inlineStr">
        <is>
          <t>Reception/Admin 3 (transferring)</t>
        </is>
      </c>
      <c r="C23" s="9" t="inlineStr">
        <is>
          <t>WTE</t>
        </is>
      </c>
      <c r="D23" s="9" t="inlineStr">
        <is>
          <t>WTE</t>
        </is>
      </c>
      <c r="E23" s="9" t="inlineStr">
        <is>
          <t>WTE</t>
        </is>
      </c>
      <c r="F23" s="9" t="inlineStr">
        <is>
          <t>WTE</t>
        </is>
      </c>
      <c r="G23" s="9" t="inlineStr">
        <is>
          <t>WTE</t>
        </is>
      </c>
    </row>
    <row r="24">
      <c r="B24" s="6" t="inlineStr">
        <is>
          <t>Reception/Admin 4 (transferring)</t>
        </is>
      </c>
      <c r="C24" s="9" t="inlineStr">
        <is>
          <t>WTE</t>
        </is>
      </c>
      <c r="D24" s="9" t="inlineStr">
        <is>
          <t>WTE</t>
        </is>
      </c>
      <c r="E24" s="9" t="inlineStr">
        <is>
          <t>WTE</t>
        </is>
      </c>
      <c r="F24" s="9" t="inlineStr">
        <is>
          <t>WTE</t>
        </is>
      </c>
      <c r="G24" s="9" t="inlineStr">
        <is>
          <t>WTE</t>
        </is>
      </c>
    </row>
    <row r="25">
      <c r="B25" s="6" t="inlineStr">
        <is>
          <t>Reception/Admin 5 (transferring)</t>
        </is>
      </c>
      <c r="C25" s="9" t="inlineStr">
        <is>
          <t>WTE</t>
        </is>
      </c>
      <c r="D25" s="9" t="inlineStr">
        <is>
          <t>WTE</t>
        </is>
      </c>
      <c r="E25" s="9" t="inlineStr">
        <is>
          <t>WTE</t>
        </is>
      </c>
      <c r="F25" s="9" t="inlineStr">
        <is>
          <t>WTE</t>
        </is>
      </c>
      <c r="G25" s="9" t="inlineStr">
        <is>
          <t>WTE</t>
        </is>
      </c>
    </row>
    <row r="26">
      <c r="B26" s="6" t="inlineStr">
        <is>
          <t>Reception/Admin 6 (transferring)</t>
        </is>
      </c>
      <c r="C26" s="9" t="inlineStr">
        <is>
          <t>WTE</t>
        </is>
      </c>
      <c r="D26" s="9" t="inlineStr">
        <is>
          <t>WTE</t>
        </is>
      </c>
      <c r="E26" s="9" t="inlineStr">
        <is>
          <t>WTE</t>
        </is>
      </c>
      <c r="F26" s="9" t="inlineStr">
        <is>
          <t>WTE</t>
        </is>
      </c>
      <c r="G26" s="9" t="inlineStr">
        <is>
          <t>WTE</t>
        </is>
      </c>
    </row>
    <row r="27">
      <c r="B27" s="6" t="inlineStr">
        <is>
          <t>Reception/Admin 7 (transferring)</t>
        </is>
      </c>
      <c r="C27" s="9" t="inlineStr">
        <is>
          <t>WTE</t>
        </is>
      </c>
      <c r="D27" s="9" t="inlineStr">
        <is>
          <t>WTE</t>
        </is>
      </c>
      <c r="E27" s="9" t="inlineStr">
        <is>
          <t>WTE</t>
        </is>
      </c>
      <c r="F27" s="9" t="inlineStr">
        <is>
          <t>WTE</t>
        </is>
      </c>
      <c r="G27" s="9" t="inlineStr">
        <is>
          <t>WTE</t>
        </is>
      </c>
    </row>
    <row r="28">
      <c r="B28" s="6" t="inlineStr">
        <is>
          <t>PCN ARRS (pharmacist/FCP/SPLW/HWBC) - network-allocated</t>
        </is>
      </c>
      <c r="C28" s="9" t="inlineStr">
        <is>
          <t>WTE</t>
        </is>
      </c>
      <c r="D28" s="9" t="inlineStr">
        <is>
          <t>WTE</t>
        </is>
      </c>
      <c r="E28" s="9" t="inlineStr">
        <is>
          <t>WTE</t>
        </is>
      </c>
      <c r="F28" s="9" t="inlineStr">
        <is>
          <t>WTE</t>
        </is>
      </c>
      <c r="G28" s="9" t="inlineStr">
        <is>
          <t>WTE</t>
        </is>
      </c>
    </row>
    <row r="29">
      <c r="B29" s="6" t="inlineStr">
        <is>
          <t>[Profession/Role/Grade]</t>
        </is>
      </c>
      <c r="C29" s="9" t="inlineStr">
        <is>
          <t>WTE</t>
        </is>
      </c>
      <c r="D29" s="9" t="inlineStr">
        <is>
          <t>WTE</t>
        </is>
      </c>
      <c r="E29" s="9" t="inlineStr">
        <is>
          <t>WTE</t>
        </is>
      </c>
      <c r="F29" s="9" t="inlineStr">
        <is>
          <t>WTE</t>
        </is>
      </c>
      <c r="G29" s="9" t="inlineStr">
        <is>
          <t>WTE</t>
        </is>
      </c>
    </row>
    <row r="30">
      <c r="B30" s="6" t="inlineStr">
        <is>
          <t>[Profession/Role/Grade]</t>
        </is>
      </c>
      <c r="C30" s="9" t="inlineStr">
        <is>
          <t>WTE</t>
        </is>
      </c>
      <c r="D30" s="9" t="inlineStr">
        <is>
          <t>WTE</t>
        </is>
      </c>
      <c r="E30" s="9" t="inlineStr">
        <is>
          <t>WTE</t>
        </is>
      </c>
      <c r="F30" s="9" t="inlineStr">
        <is>
          <t>WTE</t>
        </is>
      </c>
      <c r="G30" s="9" t="inlineStr">
        <is>
          <t>WTE</t>
        </is>
      </c>
    </row>
    <row r="31">
      <c r="B31" s="6" t="inlineStr">
        <is>
          <t>[Profession/Role/Grade]</t>
        </is>
      </c>
      <c r="C31" s="9" t="inlineStr">
        <is>
          <t>WTE</t>
        </is>
      </c>
      <c r="D31" s="9" t="inlineStr">
        <is>
          <t>WTE</t>
        </is>
      </c>
      <c r="E31" s="9" t="inlineStr">
        <is>
          <t>WTE</t>
        </is>
      </c>
      <c r="F31" s="9" t="inlineStr">
        <is>
          <t>WTE</t>
        </is>
      </c>
      <c r="G31" s="9" t="inlineStr">
        <is>
          <t>WTE</t>
        </is>
      </c>
    </row>
    <row r="32">
      <c r="B32" s="6" t="inlineStr">
        <is>
          <t>[Profession/Role/Grade]</t>
        </is>
      </c>
      <c r="C32" s="9" t="inlineStr">
        <is>
          <t>WTE</t>
        </is>
      </c>
      <c r="D32" s="9" t="inlineStr">
        <is>
          <t>WTE</t>
        </is>
      </c>
      <c r="E32" s="9" t="inlineStr">
        <is>
          <t>WTE</t>
        </is>
      </c>
      <c r="F32" s="9" t="inlineStr">
        <is>
          <t>WTE</t>
        </is>
      </c>
      <c r="G32" s="9" t="inlineStr">
        <is>
          <t>WTE</t>
        </is>
      </c>
    </row>
    <row r="34" ht="30" customHeight="1">
      <c r="A34" s="2" t="inlineStr">
        <is>
          <t>3. Bidder's pay costs: Direct Workforce</t>
        </is>
      </c>
      <c r="B34" s="55" t="inlineStr">
        <is>
          <t>Confirm the total costs associated with each category of staff profession and grade for each of the 3 years.</t>
        </is>
      </c>
      <c r="C34" s="14" t="inlineStr">
        <is>
          <t xml:space="preserve">Year 1
</t>
        </is>
      </c>
      <c r="D34" s="14" t="inlineStr">
        <is>
          <t xml:space="preserve">Year 2
</t>
        </is>
      </c>
      <c r="E34" s="14" t="inlineStr">
        <is>
          <t xml:space="preserve">Year 3
</t>
        </is>
      </c>
      <c r="F34" s="14" t="inlineStr">
        <is>
          <t xml:space="preserve">Year 4
</t>
        </is>
      </c>
      <c r="G34" s="14" t="inlineStr">
        <is>
          <t>Year 5</t>
        </is>
      </c>
      <c r="H34" s="14" t="inlineStr">
        <is>
          <t>5 year Total</t>
        </is>
      </c>
    </row>
    <row r="35">
      <c r="B35" s="19">
        <f>B12</f>
        <v/>
      </c>
      <c r="C35" s="75" t="n"/>
      <c r="D35" s="75" t="n"/>
      <c r="E35" s="75" t="n"/>
      <c r="F35" s="75" t="n"/>
      <c r="G35" s="75" t="n"/>
      <c r="H35" s="76">
        <f>SUM(C35:G35)</f>
        <v/>
      </c>
    </row>
    <row r="36">
      <c r="B36" s="19">
        <f>B13</f>
        <v/>
      </c>
      <c r="C36" s="75" t="n"/>
      <c r="D36" s="75" t="n"/>
      <c r="E36" s="75" t="n"/>
      <c r="F36" s="75" t="n"/>
      <c r="G36" s="75" t="n"/>
      <c r="H36" s="76">
        <f>SUM(C36:G36)</f>
        <v/>
      </c>
    </row>
    <row r="37">
      <c r="B37" s="19">
        <f>B14</f>
        <v/>
      </c>
      <c r="C37" s="75" t="n"/>
      <c r="D37" s="75" t="n"/>
      <c r="E37" s="75" t="n"/>
      <c r="F37" s="75" t="n"/>
      <c r="G37" s="75" t="n"/>
      <c r="H37" s="76">
        <f>SUM(C37:G37)</f>
        <v/>
      </c>
    </row>
    <row r="38">
      <c r="B38" s="19">
        <f>B15</f>
        <v/>
      </c>
      <c r="C38" s="75" t="n"/>
      <c r="D38" s="75" t="n"/>
      <c r="E38" s="75" t="n"/>
      <c r="F38" s="75" t="n"/>
      <c r="G38" s="75" t="n"/>
      <c r="H38" s="76">
        <f>SUM(C38:G38)</f>
        <v/>
      </c>
    </row>
    <row r="39">
      <c r="B39" s="19">
        <f>B16</f>
        <v/>
      </c>
      <c r="C39" s="75" t="n"/>
      <c r="D39" s="75" t="n"/>
      <c r="E39" s="75" t="n"/>
      <c r="F39" s="75" t="n"/>
      <c r="G39" s="75" t="n"/>
      <c r="H39" s="76">
        <f>SUM(C39:G39)</f>
        <v/>
      </c>
    </row>
    <row r="40">
      <c r="B40" s="19">
        <f>B17</f>
        <v/>
      </c>
      <c r="C40" s="75" t="n"/>
      <c r="D40" s="75" t="n"/>
      <c r="E40" s="75" t="n"/>
      <c r="F40" s="75" t="n"/>
      <c r="G40" s="75" t="n"/>
      <c r="H40" s="76">
        <f>SUM(C40:G40)</f>
        <v/>
      </c>
    </row>
    <row r="41">
      <c r="B41" s="19">
        <f>B18</f>
        <v/>
      </c>
      <c r="C41" s="75" t="n"/>
      <c r="D41" s="75" t="n"/>
      <c r="E41" s="75" t="n"/>
      <c r="F41" s="75" t="n"/>
      <c r="G41" s="75" t="n"/>
      <c r="H41" s="76">
        <f>SUM(C41:G41)</f>
        <v/>
      </c>
    </row>
    <row r="42">
      <c r="B42" s="19">
        <f>B19</f>
        <v/>
      </c>
      <c r="C42" s="75" t="n"/>
      <c r="D42" s="75" t="n"/>
      <c r="E42" s="75" t="n"/>
      <c r="F42" s="75" t="n"/>
      <c r="G42" s="75" t="n"/>
      <c r="H42" s="76">
        <f>SUM(C42:G42)</f>
        <v/>
      </c>
    </row>
    <row r="43">
      <c r="B43" s="19">
        <f>B20</f>
        <v/>
      </c>
      <c r="C43" s="75" t="n"/>
      <c r="D43" s="75" t="n"/>
      <c r="E43" s="75" t="n"/>
      <c r="F43" s="75" t="n"/>
      <c r="G43" s="75" t="n"/>
      <c r="H43" s="76">
        <f>SUM(C43:G43)</f>
        <v/>
      </c>
    </row>
    <row r="44">
      <c r="B44" s="19">
        <f>B21</f>
        <v/>
      </c>
      <c r="C44" s="75" t="n"/>
      <c r="D44" s="75" t="n"/>
      <c r="E44" s="75" t="n"/>
      <c r="F44" s="75" t="n"/>
      <c r="G44" s="75" t="n"/>
      <c r="H44" s="76">
        <f>SUM(C44:G44)</f>
        <v/>
      </c>
    </row>
    <row r="45">
      <c r="B45" s="19">
        <f>B22</f>
        <v/>
      </c>
      <c r="C45" s="75" t="n"/>
      <c r="D45" s="75" t="n"/>
      <c r="E45" s="75" t="n"/>
      <c r="F45" s="75" t="n"/>
      <c r="G45" s="75" t="n"/>
      <c r="H45" s="76">
        <f>SUM(C45:G45)</f>
        <v/>
      </c>
    </row>
    <row r="46">
      <c r="B46" s="19">
        <f>B23</f>
        <v/>
      </c>
      <c r="C46" s="75" t="n"/>
      <c r="D46" s="75" t="n"/>
      <c r="E46" s="75" t="n"/>
      <c r="F46" s="75" t="n"/>
      <c r="G46" s="75" t="n"/>
      <c r="H46" s="76">
        <f>SUM(C46:G46)</f>
        <v/>
      </c>
    </row>
    <row r="47">
      <c r="B47" s="19">
        <f>B24</f>
        <v/>
      </c>
      <c r="C47" s="75" t="n"/>
      <c r="D47" s="75" t="n"/>
      <c r="E47" s="75" t="n"/>
      <c r="F47" s="75" t="n"/>
      <c r="G47" s="75" t="n"/>
      <c r="H47" s="76">
        <f>SUM(C47:G47)</f>
        <v/>
      </c>
    </row>
    <row r="48">
      <c r="B48" s="19">
        <f>B25</f>
        <v/>
      </c>
      <c r="C48" s="75" t="n"/>
      <c r="D48" s="75" t="n"/>
      <c r="E48" s="75" t="n"/>
      <c r="F48" s="75" t="n"/>
      <c r="G48" s="75" t="n"/>
      <c r="H48" s="76">
        <f>SUM(C48:G48)</f>
        <v/>
      </c>
    </row>
    <row r="49">
      <c r="B49" s="19">
        <f>B26</f>
        <v/>
      </c>
      <c r="C49" s="75" t="n"/>
      <c r="D49" s="75" t="n"/>
      <c r="E49" s="75" t="n"/>
      <c r="F49" s="75" t="n"/>
      <c r="G49" s="75" t="n"/>
      <c r="H49" s="76">
        <f>SUM(C49:G49)</f>
        <v/>
      </c>
    </row>
    <row r="50">
      <c r="B50" s="19">
        <f>B27</f>
        <v/>
      </c>
      <c r="C50" s="75" t="n"/>
      <c r="D50" s="75" t="n"/>
      <c r="E50" s="75" t="n"/>
      <c r="F50" s="75" t="n"/>
      <c r="G50" s="75" t="n"/>
      <c r="H50" s="76">
        <f>SUM(C50:G50)</f>
        <v/>
      </c>
    </row>
    <row r="51">
      <c r="B51" s="19">
        <f>B28</f>
        <v/>
      </c>
      <c r="C51" s="75" t="n"/>
      <c r="D51" s="75" t="n"/>
      <c r="E51" s="75" t="n"/>
      <c r="F51" s="75" t="n"/>
      <c r="G51" s="75" t="n"/>
      <c r="H51" s="76">
        <f>SUM(C51:G51)</f>
        <v/>
      </c>
    </row>
    <row r="52">
      <c r="B52" s="19">
        <f>B29</f>
        <v/>
      </c>
      <c r="C52" s="75" t="n"/>
      <c r="D52" s="75" t="n"/>
      <c r="E52" s="75" t="n"/>
      <c r="F52" s="75" t="n"/>
      <c r="G52" s="75" t="n"/>
      <c r="H52" s="76">
        <f>SUM(C52:G52)</f>
        <v/>
      </c>
    </row>
    <row r="53">
      <c r="B53" s="19">
        <f>B30</f>
        <v/>
      </c>
      <c r="C53" s="75" t="n"/>
      <c r="D53" s="75" t="n"/>
      <c r="E53" s="75" t="n"/>
      <c r="F53" s="75" t="n"/>
      <c r="G53" s="75" t="n"/>
      <c r="H53" s="76">
        <f>SUM(C53:G53)</f>
        <v/>
      </c>
    </row>
    <row r="54">
      <c r="B54" s="19">
        <f>B31</f>
        <v/>
      </c>
      <c r="C54" s="75" t="n"/>
      <c r="D54" s="75" t="n"/>
      <c r="E54" s="75" t="n"/>
      <c r="F54" s="75" t="n"/>
      <c r="G54" s="75" t="n"/>
      <c r="H54" s="76">
        <f>SUM(C54:G54)</f>
        <v/>
      </c>
    </row>
    <row r="55">
      <c r="B55" s="19">
        <f>B32</f>
        <v/>
      </c>
      <c r="C55" s="75" t="n"/>
      <c r="D55" s="75" t="n"/>
      <c r="E55" s="75" t="n"/>
      <c r="F55" s="75" t="n"/>
      <c r="G55" s="75" t="n"/>
      <c r="H55" s="76">
        <f>SUM(C55:G55)</f>
        <v/>
      </c>
    </row>
    <row r="56">
      <c r="B56" s="17" t="inlineStr">
        <is>
          <t>Sub-total: Workforce costs</t>
        </is>
      </c>
      <c r="C56" s="77">
        <f>SUM(C35:C55)</f>
        <v/>
      </c>
      <c r="D56" s="77">
        <f>SUM(D35:D55)</f>
        <v/>
      </c>
      <c r="E56" s="77">
        <f>SUM(E35:E55)</f>
        <v/>
      </c>
      <c r="F56" s="77">
        <f>SUM(F35:F55)</f>
        <v/>
      </c>
      <c r="G56" s="77">
        <f>SUM(G35:G55)</f>
        <v/>
      </c>
      <c r="H56" s="77">
        <f>SUM(H35:H55)</f>
        <v/>
      </c>
    </row>
    <row r="58" ht="30" customHeight="1">
      <c r="A58" s="2" t="inlineStr">
        <is>
          <t>4. Bidder's pay costs: Additional TUPE Costs</t>
        </is>
      </c>
      <c r="B58" s="55" t="inlineStr">
        <is>
          <t xml:space="preserve">Confirm TUPE costs that will be used to adjust the  above workforce costs. </t>
        </is>
      </c>
      <c r="C58" s="14" t="inlineStr">
        <is>
          <t xml:space="preserve">Year 1
</t>
        </is>
      </c>
      <c r="D58" s="14" t="inlineStr">
        <is>
          <t xml:space="preserve">Year 2
</t>
        </is>
      </c>
      <c r="E58" s="14" t="inlineStr">
        <is>
          <t xml:space="preserve">Year 3
</t>
        </is>
      </c>
      <c r="F58" s="14" t="inlineStr">
        <is>
          <t xml:space="preserve">Year 4
</t>
        </is>
      </c>
      <c r="G58" s="14" t="inlineStr">
        <is>
          <t>Year 5</t>
        </is>
      </c>
      <c r="H58" s="14" t="inlineStr">
        <is>
          <t>5 year Total</t>
        </is>
      </c>
    </row>
    <row r="59">
      <c r="B59" s="10" t="inlineStr">
        <is>
          <t>Base salary adjustment</t>
        </is>
      </c>
      <c r="C59" s="75" t="n"/>
      <c r="D59" s="75" t="n"/>
      <c r="E59" s="75" t="n"/>
      <c r="F59" s="75" t="n"/>
      <c r="G59" s="75" t="n"/>
      <c r="H59" s="76">
        <f>SUM(C59:G59)</f>
        <v/>
      </c>
    </row>
    <row r="60">
      <c r="B60" s="10" t="inlineStr">
        <is>
          <t>NIC adjustment</t>
        </is>
      </c>
      <c r="C60" s="75" t="n"/>
      <c r="D60" s="75" t="n"/>
      <c r="E60" s="75" t="n"/>
      <c r="F60" s="75" t="n"/>
      <c r="G60" s="75" t="n"/>
      <c r="H60" s="76">
        <f>SUM(C60:G60)</f>
        <v/>
      </c>
    </row>
    <row r="61">
      <c r="B61" s="10" t="inlineStr">
        <is>
          <t>Pension adjustment</t>
        </is>
      </c>
      <c r="C61" s="75" t="n"/>
      <c r="D61" s="75" t="n"/>
      <c r="E61" s="75" t="n"/>
      <c r="F61" s="75" t="n"/>
      <c r="G61" s="75" t="n"/>
      <c r="H61" s="76">
        <f>SUM(C61:G61)</f>
        <v/>
      </c>
    </row>
    <row r="62">
      <c r="B62" s="6" t="inlineStr">
        <is>
          <t>[Other staff costs adjustment - explain]</t>
        </is>
      </c>
      <c r="C62" s="75" t="n"/>
      <c r="D62" s="75" t="n"/>
      <c r="E62" s="75" t="n"/>
      <c r="F62" s="75" t="n"/>
      <c r="G62" s="75" t="n"/>
      <c r="H62" s="76">
        <f>SUM(C62:G62)</f>
        <v/>
      </c>
    </row>
    <row r="63">
      <c r="B63" s="6" t="inlineStr">
        <is>
          <t>[Other staff costs adjustment - explain]</t>
        </is>
      </c>
      <c r="C63" s="75" t="n"/>
      <c r="D63" s="75" t="n"/>
      <c r="E63" s="75" t="n"/>
      <c r="F63" s="75" t="n"/>
      <c r="G63" s="75" t="n"/>
      <c r="H63" s="76">
        <f>SUM(C63:G63)</f>
        <v/>
      </c>
    </row>
    <row r="64">
      <c r="B64" s="6" t="inlineStr">
        <is>
          <t>[Other staff costs adjustment - explain]</t>
        </is>
      </c>
      <c r="C64" s="75" t="n"/>
      <c r="D64" s="75" t="n"/>
      <c r="E64" s="75" t="n"/>
      <c r="F64" s="75" t="n"/>
      <c r="G64" s="75" t="n"/>
      <c r="H64" s="76">
        <f>SUM(C64:G64)</f>
        <v/>
      </c>
    </row>
    <row r="65">
      <c r="B65" s="17" t="inlineStr">
        <is>
          <t>Sub-total: TUPE adjustments</t>
        </is>
      </c>
      <c r="C65" s="77">
        <f>SUM(C59:C64)</f>
        <v/>
      </c>
      <c r="D65" s="77">
        <f>SUM(D59:D64)</f>
        <v/>
      </c>
      <c r="E65" s="77">
        <f>SUM(E59:E64)</f>
        <v/>
      </c>
      <c r="F65" s="77">
        <f>SUM(F59:F64)</f>
        <v/>
      </c>
      <c r="G65" s="77">
        <f>SUM(G59:G64)</f>
        <v/>
      </c>
      <c r="H65" s="77">
        <f>SUM(H59:H64)</f>
        <v/>
      </c>
    </row>
    <row r="67" ht="30" customHeight="1">
      <c r="C67" s="14" t="inlineStr">
        <is>
          <t xml:space="preserve">Year 1
</t>
        </is>
      </c>
      <c r="D67" s="14" t="inlineStr">
        <is>
          <t xml:space="preserve">Year 2
</t>
        </is>
      </c>
      <c r="E67" s="14" t="inlineStr">
        <is>
          <t xml:space="preserve">Year 3
</t>
        </is>
      </c>
      <c r="F67" s="14" t="inlineStr">
        <is>
          <t xml:space="preserve">Year 4
</t>
        </is>
      </c>
      <c r="G67" s="14" t="inlineStr">
        <is>
          <t>Year 5</t>
        </is>
      </c>
      <c r="H67" s="14" t="inlineStr">
        <is>
          <t>5 year Total</t>
        </is>
      </c>
    </row>
    <row r="68" ht="15.75" customHeight="1">
      <c r="A68" s="2" t="n"/>
      <c r="B68" s="17" t="inlineStr">
        <is>
          <t>Total Calculated Workforce Cost</t>
        </is>
      </c>
      <c r="C68" s="77">
        <f>C56+C65</f>
        <v/>
      </c>
      <c r="D68" s="77">
        <f>D56+D65</f>
        <v/>
      </c>
      <c r="E68" s="77">
        <f>E56+E65</f>
        <v/>
      </c>
      <c r="F68" s="77">
        <f>F56+F65</f>
        <v/>
      </c>
      <c r="G68" s="77">
        <f>G56+G65</f>
        <v/>
      </c>
      <c r="H68" s="77">
        <f>SUM(C68:G68)</f>
        <v/>
      </c>
    </row>
    <row r="70" ht="31.5" customHeight="1">
      <c r="A70" s="2" t="inlineStr">
        <is>
          <t>5. Bidder's pay costs: Indirect / Central Overheads</t>
        </is>
      </c>
      <c r="B70" s="55" t="inlineStr">
        <is>
          <t>Describe and confirm all indirect / central overhead costs related to support and management functions</t>
        </is>
      </c>
      <c r="C70" s="14" t="inlineStr">
        <is>
          <t xml:space="preserve">Year 1
</t>
        </is>
      </c>
      <c r="D70" s="14" t="inlineStr">
        <is>
          <t xml:space="preserve">Year 2
</t>
        </is>
      </c>
      <c r="E70" s="14" t="inlineStr">
        <is>
          <t xml:space="preserve">Year 3
</t>
        </is>
      </c>
      <c r="F70" s="14" t="inlineStr">
        <is>
          <t xml:space="preserve">Year 4
</t>
        </is>
      </c>
      <c r="G70" s="14" t="inlineStr">
        <is>
          <t>Year 5</t>
        </is>
      </c>
      <c r="H70" s="14" t="inlineStr">
        <is>
          <t>5 year Total</t>
        </is>
      </c>
    </row>
    <row r="71">
      <c r="B71" s="6" t="inlineStr">
        <is>
          <t>[Description/function/role, etc]</t>
        </is>
      </c>
      <c r="C71" s="75" t="n"/>
      <c r="D71" s="75" t="n"/>
      <c r="E71" s="75" t="n"/>
      <c r="F71" s="75" t="n"/>
      <c r="G71" s="75" t="n"/>
      <c r="H71" s="76">
        <f>SUM(C71:G71)</f>
        <v/>
      </c>
    </row>
    <row r="72">
      <c r="B72" s="6" t="inlineStr">
        <is>
          <t>[Description/function/role, etc]</t>
        </is>
      </c>
      <c r="C72" s="75" t="n"/>
      <c r="D72" s="75" t="n"/>
      <c r="E72" s="75" t="n"/>
      <c r="F72" s="75" t="n"/>
      <c r="G72" s="75" t="n"/>
      <c r="H72" s="76">
        <f>SUM(C72:G72)</f>
        <v/>
      </c>
    </row>
    <row r="73">
      <c r="B73" s="6" t="inlineStr">
        <is>
          <t>[Description/function/role, etc]</t>
        </is>
      </c>
      <c r="C73" s="75" t="n"/>
      <c r="D73" s="75" t="n"/>
      <c r="E73" s="75" t="n"/>
      <c r="F73" s="75" t="n"/>
      <c r="G73" s="75" t="n"/>
      <c r="H73" s="76">
        <f>SUM(C73:G73)</f>
        <v/>
      </c>
    </row>
    <row r="74">
      <c r="B74" s="6" t="inlineStr">
        <is>
          <t>[Description/function/role, etc]</t>
        </is>
      </c>
      <c r="C74" s="75" t="n"/>
      <c r="D74" s="75" t="n"/>
      <c r="E74" s="75" t="n"/>
      <c r="F74" s="75" t="n"/>
      <c r="G74" s="75" t="n"/>
      <c r="H74" s="76">
        <f>SUM(C74:G74)</f>
        <v/>
      </c>
    </row>
    <row r="75">
      <c r="B75" s="6" t="inlineStr">
        <is>
          <t>[Description/function/role, etc]</t>
        </is>
      </c>
      <c r="C75" s="75" t="n"/>
      <c r="D75" s="75" t="n"/>
      <c r="E75" s="75" t="n"/>
      <c r="F75" s="75" t="n"/>
      <c r="G75" s="75" t="n"/>
      <c r="H75" s="76">
        <f>SUM(C75:G75)</f>
        <v/>
      </c>
    </row>
    <row r="76">
      <c r="B76" s="6" t="inlineStr">
        <is>
          <t>[Description/function/role, etc]</t>
        </is>
      </c>
      <c r="C76" s="75" t="n"/>
      <c r="D76" s="75" t="n"/>
      <c r="E76" s="75" t="n"/>
      <c r="F76" s="75" t="n"/>
      <c r="G76" s="75" t="n"/>
      <c r="H76" s="76">
        <f>SUM(C76:G76)</f>
        <v/>
      </c>
    </row>
    <row r="77">
      <c r="B77" s="6" t="inlineStr">
        <is>
          <t>[Description/function/role, etc]</t>
        </is>
      </c>
      <c r="C77" s="75" t="n"/>
      <c r="D77" s="75" t="n"/>
      <c r="E77" s="75" t="n"/>
      <c r="F77" s="75" t="n"/>
      <c r="G77" s="75" t="n"/>
      <c r="H77" s="76">
        <f>SUM(C77:G77)</f>
        <v/>
      </c>
    </row>
    <row r="78">
      <c r="B78" s="6" t="inlineStr">
        <is>
          <t>[Description/function/role, etc]</t>
        </is>
      </c>
      <c r="C78" s="75" t="n"/>
      <c r="D78" s="75" t="n"/>
      <c r="E78" s="75" t="n"/>
      <c r="F78" s="75" t="n"/>
      <c r="G78" s="75" t="n"/>
      <c r="H78" s="76">
        <f>SUM(C78:G78)</f>
        <v/>
      </c>
    </row>
    <row r="79">
      <c r="B79" s="6" t="inlineStr">
        <is>
          <t>[Description/function/role, etc]</t>
        </is>
      </c>
      <c r="C79" s="75" t="n"/>
      <c r="D79" s="75" t="n"/>
      <c r="E79" s="75" t="n"/>
      <c r="F79" s="75" t="n"/>
      <c r="G79" s="75" t="n"/>
      <c r="H79" s="76">
        <f>SUM(C79:G79)</f>
        <v/>
      </c>
    </row>
    <row r="80">
      <c r="B80" s="6" t="inlineStr">
        <is>
          <t>[Description/function/role, etc]</t>
        </is>
      </c>
      <c r="C80" s="75" t="n"/>
      <c r="D80" s="75" t="n"/>
      <c r="E80" s="75" t="n"/>
      <c r="F80" s="75" t="n"/>
      <c r="G80" s="75" t="n"/>
      <c r="H80" s="76">
        <f>SUM(C80:G80)</f>
        <v/>
      </c>
    </row>
    <row r="81">
      <c r="B81" s="6" t="inlineStr">
        <is>
          <t>[Description/function/role, etc]</t>
        </is>
      </c>
      <c r="C81" s="75" t="n"/>
      <c r="D81" s="75" t="n"/>
      <c r="E81" s="75" t="n"/>
      <c r="F81" s="75" t="n"/>
      <c r="G81" s="75" t="n"/>
      <c r="H81" s="76">
        <f>SUM(C81:G81)</f>
        <v/>
      </c>
    </row>
    <row r="82">
      <c r="B82" s="6" t="inlineStr">
        <is>
          <t>[Description/function/role, etc]</t>
        </is>
      </c>
      <c r="C82" s="75" t="n"/>
      <c r="D82" s="75" t="n"/>
      <c r="E82" s="75" t="n"/>
      <c r="F82" s="75" t="n"/>
      <c r="G82" s="75" t="n"/>
      <c r="H82" s="76">
        <f>SUM(C82:G82)</f>
        <v/>
      </c>
    </row>
    <row r="83">
      <c r="B83" s="6" t="inlineStr">
        <is>
          <t>[Description/function/role, etc]</t>
        </is>
      </c>
      <c r="C83" s="75" t="n"/>
      <c r="D83" s="75" t="n"/>
      <c r="E83" s="75" t="n"/>
      <c r="F83" s="75" t="n"/>
      <c r="G83" s="75" t="n"/>
      <c r="H83" s="76">
        <f>SUM(C83:G83)</f>
        <v/>
      </c>
    </row>
    <row r="84">
      <c r="B84" s="17" t="inlineStr">
        <is>
          <t>Sub-total: Indirect / Central overheads</t>
        </is>
      </c>
      <c r="C84" s="77">
        <f>SUM(C71:C83)</f>
        <v/>
      </c>
      <c r="D84" s="77">
        <f>SUM(D71:D83)</f>
        <v/>
      </c>
      <c r="E84" s="77">
        <f>SUM(E71:E83)</f>
        <v/>
      </c>
      <c r="F84" s="77">
        <f>SUM(F71:F83)</f>
        <v/>
      </c>
      <c r="G84" s="77">
        <f>SUM(G71:G83)</f>
        <v/>
      </c>
      <c r="H84" s="77">
        <f>SUM(H71:H83)</f>
        <v/>
      </c>
    </row>
    <row r="86" ht="105" customHeight="1">
      <c r="A86" s="3" t="inlineStr">
        <is>
          <t>7. Bidder's non-pay costs</t>
        </is>
      </c>
      <c r="B86" s="55" t="inlineStr">
        <is>
          <t>Describe and confirm all non-pay costs.
Estates and facilities costs have been provided in the model. Please include any other relevant costs. This may include e.g. IT equipment (systems, maintenance), insurances, consumables (clinical, administrative), equipment (minor, capital), uniforms, training, telecommunications, transport, clinical support services (diagnostics, pathology, pharmacy), legal services, translation services, marketing, printing, start-up costs, etc</t>
        </is>
      </c>
      <c r="C86" s="14" t="inlineStr">
        <is>
          <t xml:space="preserve">Year 1
</t>
        </is>
      </c>
      <c r="D86" s="14" t="inlineStr">
        <is>
          <t xml:space="preserve">Year 2
</t>
        </is>
      </c>
      <c r="E86" s="14" t="inlineStr">
        <is>
          <t xml:space="preserve">Year 3
</t>
        </is>
      </c>
      <c r="F86" s="14" t="inlineStr">
        <is>
          <t xml:space="preserve">Year 4
</t>
        </is>
      </c>
      <c r="G86" s="14" t="inlineStr">
        <is>
          <t>Year 5</t>
        </is>
      </c>
      <c r="H86" s="14" t="inlineStr">
        <is>
          <t>5 year Total</t>
        </is>
      </c>
    </row>
    <row r="87">
      <c r="B87" s="6" t="inlineStr">
        <is>
          <t>[Description/function/role, etc]</t>
        </is>
      </c>
      <c r="C87" s="75" t="n"/>
      <c r="D87" s="75" t="n"/>
      <c r="E87" s="75" t="n"/>
      <c r="F87" s="75" t="n"/>
      <c r="G87" s="75" t="n"/>
      <c r="H87" s="76">
        <f>SUM(C87:G87)</f>
        <v/>
      </c>
    </row>
    <row r="88">
      <c r="B88" s="6" t="inlineStr">
        <is>
          <t>[Description/function/role, etc]</t>
        </is>
      </c>
      <c r="C88" s="75" t="n"/>
      <c r="D88" s="75" t="n"/>
      <c r="E88" s="75" t="n"/>
      <c r="F88" s="75" t="n"/>
      <c r="G88" s="75" t="n"/>
      <c r="H88" s="76">
        <f>SUM(C88:G88)</f>
        <v/>
      </c>
    </row>
    <row r="89">
      <c r="B89" s="6" t="inlineStr">
        <is>
          <t>[Description/function/role, etc]</t>
        </is>
      </c>
      <c r="C89" s="75" t="n"/>
      <c r="D89" s="75" t="n"/>
      <c r="E89" s="75" t="n"/>
      <c r="F89" s="75" t="n"/>
      <c r="G89" s="75" t="n"/>
      <c r="H89" s="76">
        <f>SUM(C89:G89)</f>
        <v/>
      </c>
    </row>
    <row r="90">
      <c r="B90" s="6" t="inlineStr">
        <is>
          <t>[Description/function/role, etc]</t>
        </is>
      </c>
      <c r="C90" s="75" t="n"/>
      <c r="D90" s="75" t="n"/>
      <c r="E90" s="75" t="n"/>
      <c r="F90" s="75" t="n"/>
      <c r="G90" s="75" t="n"/>
      <c r="H90" s="76">
        <f>SUM(C90:G90)</f>
        <v/>
      </c>
    </row>
    <row r="91">
      <c r="B91" s="6" t="inlineStr">
        <is>
          <t>[Description/function/role, etc]</t>
        </is>
      </c>
      <c r="C91" s="75" t="n"/>
      <c r="D91" s="75" t="n"/>
      <c r="E91" s="75" t="n"/>
      <c r="F91" s="75" t="n"/>
      <c r="G91" s="75" t="n"/>
      <c r="H91" s="76">
        <f>SUM(C91:G91)</f>
        <v/>
      </c>
    </row>
    <row r="92">
      <c r="B92" s="6" t="inlineStr">
        <is>
          <t>[Description/function/role, etc]</t>
        </is>
      </c>
      <c r="C92" s="75" t="n"/>
      <c r="D92" s="75" t="n"/>
      <c r="E92" s="75" t="n"/>
      <c r="F92" s="75" t="n"/>
      <c r="G92" s="75" t="n"/>
      <c r="H92" s="76">
        <f>SUM(C92:G92)</f>
        <v/>
      </c>
    </row>
    <row r="93">
      <c r="B93" s="6" t="inlineStr">
        <is>
          <t>[Description/function/role, etc]</t>
        </is>
      </c>
      <c r="C93" s="75" t="n"/>
      <c r="D93" s="75" t="n"/>
      <c r="E93" s="75" t="n"/>
      <c r="F93" s="75" t="n"/>
      <c r="G93" s="75" t="n"/>
      <c r="H93" s="76">
        <f>SUM(C93:G93)</f>
        <v/>
      </c>
    </row>
    <row r="94">
      <c r="B94" s="6" t="inlineStr">
        <is>
          <t>[Description/function/role, etc]</t>
        </is>
      </c>
      <c r="C94" s="75" t="n"/>
      <c r="D94" s="75" t="n"/>
      <c r="E94" s="75" t="n"/>
      <c r="F94" s="75" t="n"/>
      <c r="G94" s="75" t="n"/>
      <c r="H94" s="76">
        <f>SUM(C94:G94)</f>
        <v/>
      </c>
    </row>
    <row r="95">
      <c r="B95" s="6" t="inlineStr">
        <is>
          <t>[Description/function/role, etc]</t>
        </is>
      </c>
      <c r="C95" s="75" t="n"/>
      <c r="D95" s="75" t="n"/>
      <c r="E95" s="75" t="n"/>
      <c r="F95" s="75" t="n"/>
      <c r="G95" s="75" t="n"/>
      <c r="H95" s="76">
        <f>SUM(C95:G95)</f>
        <v/>
      </c>
    </row>
    <row r="96">
      <c r="B96" s="6" t="inlineStr">
        <is>
          <t>[Description/function/role, etc]</t>
        </is>
      </c>
      <c r="C96" s="75" t="n"/>
      <c r="D96" s="75" t="n"/>
      <c r="E96" s="75" t="n"/>
      <c r="F96" s="75" t="n"/>
      <c r="G96" s="75" t="n"/>
      <c r="H96" s="76">
        <f>SUM(C96:G96)</f>
        <v/>
      </c>
    </row>
    <row r="97">
      <c r="B97" s="6" t="inlineStr">
        <is>
          <t>[Description/function/role, etc]</t>
        </is>
      </c>
      <c r="C97" s="75" t="n"/>
      <c r="D97" s="75" t="n"/>
      <c r="E97" s="75" t="n"/>
      <c r="F97" s="75" t="n"/>
      <c r="G97" s="75" t="n"/>
      <c r="H97" s="76">
        <f>SUM(C97:G97)</f>
        <v/>
      </c>
    </row>
    <row r="98">
      <c r="B98" s="6" t="inlineStr">
        <is>
          <t>[Description/function/role, etc]</t>
        </is>
      </c>
      <c r="C98" s="75" t="n"/>
      <c r="D98" s="75" t="n"/>
      <c r="E98" s="75" t="n"/>
      <c r="F98" s="75" t="n"/>
      <c r="G98" s="75" t="n"/>
      <c r="H98" s="76">
        <f>SUM(C98:G98)</f>
        <v/>
      </c>
    </row>
    <row r="99">
      <c r="B99" s="6" t="inlineStr">
        <is>
          <t>[Description/function/role, etc]</t>
        </is>
      </c>
      <c r="C99" s="75" t="n"/>
      <c r="D99" s="75" t="n"/>
      <c r="E99" s="75" t="n"/>
      <c r="F99" s="75" t="n"/>
      <c r="G99" s="75" t="n"/>
      <c r="H99" s="76">
        <f>SUM(C99:G99)</f>
        <v/>
      </c>
    </row>
    <row r="100">
      <c r="B100" s="6" t="inlineStr">
        <is>
          <t>[Description/function/role, etc]</t>
        </is>
      </c>
      <c r="C100" s="75" t="n"/>
      <c r="D100" s="75" t="n"/>
      <c r="E100" s="75" t="n"/>
      <c r="F100" s="75" t="n"/>
      <c r="G100" s="75" t="n"/>
      <c r="H100" s="76">
        <f>SUM(C100:G100)</f>
        <v/>
      </c>
    </row>
    <row r="101">
      <c r="B101" s="6" t="inlineStr">
        <is>
          <t>[Description/function/role, etc]</t>
        </is>
      </c>
      <c r="C101" s="75" t="n"/>
      <c r="D101" s="75" t="n"/>
      <c r="E101" s="75" t="n"/>
      <c r="F101" s="75" t="n"/>
      <c r="G101" s="75" t="n"/>
      <c r="H101" s="76">
        <f>SUM(C101:G101)</f>
        <v/>
      </c>
    </row>
    <row r="102">
      <c r="B102" s="6" t="inlineStr">
        <is>
          <t>[Description/function/role, etc]</t>
        </is>
      </c>
      <c r="C102" s="75" t="n"/>
      <c r="D102" s="75" t="n"/>
      <c r="E102" s="75" t="n"/>
      <c r="F102" s="75" t="n"/>
      <c r="G102" s="75" t="n"/>
      <c r="H102" s="76">
        <f>SUM(C102:G102)</f>
        <v/>
      </c>
    </row>
    <row r="103">
      <c r="B103" s="6" t="inlineStr">
        <is>
          <t>[Description/function/role, etc]</t>
        </is>
      </c>
      <c r="C103" s="75" t="n"/>
      <c r="D103" s="75" t="n"/>
      <c r="E103" s="75" t="n"/>
      <c r="F103" s="75" t="n"/>
      <c r="G103" s="75" t="n"/>
      <c r="H103" s="76">
        <f>SUM(C103:G103)</f>
        <v/>
      </c>
    </row>
    <row r="104">
      <c r="B104" s="6" t="inlineStr">
        <is>
          <t>[Description/function/role, etc]</t>
        </is>
      </c>
      <c r="C104" s="75" t="n"/>
      <c r="D104" s="75" t="n"/>
      <c r="E104" s="75" t="n"/>
      <c r="F104" s="75" t="n"/>
      <c r="G104" s="75" t="n"/>
      <c r="H104" s="76">
        <f>SUM(C104:G104)</f>
        <v/>
      </c>
    </row>
    <row r="105">
      <c r="B105" s="6" t="inlineStr">
        <is>
          <t>[Description/function/role, etc]</t>
        </is>
      </c>
      <c r="C105" s="75" t="n"/>
      <c r="D105" s="75" t="n"/>
      <c r="E105" s="75" t="n"/>
      <c r="F105" s="75" t="n"/>
      <c r="G105" s="75" t="n"/>
      <c r="H105" s="76">
        <f>SUM(C105:G105)</f>
        <v/>
      </c>
    </row>
    <row r="106">
      <c r="B106" s="6" t="inlineStr">
        <is>
          <t>[Description/function/role, etc]</t>
        </is>
      </c>
      <c r="C106" s="75" t="n"/>
      <c r="D106" s="75" t="n"/>
      <c r="E106" s="75" t="n"/>
      <c r="F106" s="75" t="n"/>
      <c r="G106" s="75" t="n"/>
      <c r="H106" s="76">
        <f>SUM(C106:G106)</f>
        <v/>
      </c>
    </row>
    <row r="107">
      <c r="B107" s="6" t="inlineStr">
        <is>
          <t>[Description/function/role, etc]</t>
        </is>
      </c>
      <c r="C107" s="75" t="n"/>
      <c r="D107" s="75" t="n"/>
      <c r="E107" s="75" t="n"/>
      <c r="F107" s="75" t="n"/>
      <c r="G107" s="75" t="n"/>
      <c r="H107" s="76">
        <f>SUM(C107:G107)</f>
        <v/>
      </c>
    </row>
    <row r="108">
      <c r="B108" s="6" t="inlineStr">
        <is>
          <t>[Description/function/role, etc]</t>
        </is>
      </c>
      <c r="C108" s="75" t="n"/>
      <c r="D108" s="75" t="n"/>
      <c r="E108" s="75" t="n"/>
      <c r="F108" s="75" t="n"/>
      <c r="G108" s="75" t="n"/>
      <c r="H108" s="76">
        <f>SUM(C108:G108)</f>
        <v/>
      </c>
    </row>
    <row r="109">
      <c r="B109" s="6" t="inlineStr">
        <is>
          <t>[Description/function/role, etc]</t>
        </is>
      </c>
      <c r="C109" s="75" t="n"/>
      <c r="D109" s="75" t="n"/>
      <c r="E109" s="75" t="n"/>
      <c r="F109" s="75" t="n"/>
      <c r="G109" s="75" t="n"/>
      <c r="H109" s="76">
        <f>SUM(C109:G109)</f>
        <v/>
      </c>
    </row>
    <row r="110">
      <c r="B110" s="6" t="inlineStr">
        <is>
          <t>[Description/function/role, etc]</t>
        </is>
      </c>
      <c r="C110" s="75" t="n"/>
      <c r="D110" s="75" t="n"/>
      <c r="E110" s="75" t="n"/>
      <c r="F110" s="75" t="n"/>
      <c r="G110" s="75" t="n"/>
      <c r="H110" s="76">
        <f>SUM(C110:G110)</f>
        <v/>
      </c>
    </row>
    <row r="111">
      <c r="B111" s="6" t="inlineStr">
        <is>
          <t>[Description/function/role, etc]</t>
        </is>
      </c>
      <c r="C111" s="75" t="n"/>
      <c r="D111" s="75" t="n"/>
      <c r="E111" s="75" t="n"/>
      <c r="F111" s="75" t="n"/>
      <c r="G111" s="75" t="n"/>
      <c r="H111" s="76">
        <f>SUM(C111:G111)</f>
        <v/>
      </c>
    </row>
    <row r="112">
      <c r="B112" s="6" t="inlineStr">
        <is>
          <t>[Description/function/role, etc]</t>
        </is>
      </c>
      <c r="C112" s="75" t="n"/>
      <c r="D112" s="75" t="n"/>
      <c r="E112" s="75" t="n"/>
      <c r="F112" s="75" t="n"/>
      <c r="G112" s="75" t="n"/>
      <c r="H112" s="76">
        <f>SUM(C112:G112)</f>
        <v/>
      </c>
    </row>
    <row r="113">
      <c r="B113" s="6" t="inlineStr">
        <is>
          <t>[Description/function/role, etc]</t>
        </is>
      </c>
      <c r="C113" s="75" t="n"/>
      <c r="D113" s="75" t="n"/>
      <c r="E113" s="75" t="n"/>
      <c r="F113" s="75" t="n"/>
      <c r="G113" s="75" t="n"/>
      <c r="H113" s="76">
        <f>SUM(C113:G113)</f>
        <v/>
      </c>
    </row>
    <row r="114">
      <c r="B114" s="6" t="inlineStr">
        <is>
          <t>[Description/function/role, etc]</t>
        </is>
      </c>
      <c r="C114" s="75" t="n"/>
      <c r="D114" s="75" t="n"/>
      <c r="E114" s="75" t="n"/>
      <c r="F114" s="75" t="n"/>
      <c r="G114" s="75" t="n"/>
      <c r="H114" s="76">
        <f>SUM(C114:G114)</f>
        <v/>
      </c>
    </row>
    <row r="115">
      <c r="B115" s="17" t="inlineStr">
        <is>
          <t>Sub-total: non-pay costs</t>
        </is>
      </c>
      <c r="C115" s="77">
        <f>SUM(C87:C114)</f>
        <v/>
      </c>
      <c r="D115" s="77">
        <f>SUM(D87:D114)</f>
        <v/>
      </c>
      <c r="E115" s="77">
        <f>SUM(E87:E114)</f>
        <v/>
      </c>
      <c r="F115" s="77">
        <f>SUM(F87:F114)</f>
        <v/>
      </c>
      <c r="G115" s="77">
        <f>SUM(G87:G114)</f>
        <v/>
      </c>
      <c r="H115" s="77">
        <f>SUM(H87:H114)</f>
        <v/>
      </c>
    </row>
    <row r="117" ht="31.5" customHeight="1">
      <c r="A117" s="25" t="inlineStr">
        <is>
          <t>8 Bidder Prices, total costs &amp; margin (for 100% of baseline activity)</t>
        </is>
      </c>
      <c r="C117" s="14" t="inlineStr">
        <is>
          <t xml:space="preserve">Year 1
</t>
        </is>
      </c>
      <c r="D117" s="14" t="inlineStr">
        <is>
          <t xml:space="preserve">Year 2
</t>
        </is>
      </c>
      <c r="E117" s="14" t="inlineStr">
        <is>
          <t xml:space="preserve">Year 3
</t>
        </is>
      </c>
      <c r="F117" s="14" t="inlineStr">
        <is>
          <t xml:space="preserve">Year 4
</t>
        </is>
      </c>
      <c r="G117" s="14" t="inlineStr">
        <is>
          <t>Year 5</t>
        </is>
      </c>
      <c r="H117" s="14" t="inlineStr">
        <is>
          <t>5 year Total</t>
        </is>
      </c>
    </row>
    <row r="118">
      <c r="A118" s="23" t="inlineStr">
        <is>
          <t>Costs</t>
        </is>
      </c>
      <c r="B118" s="24" t="inlineStr">
        <is>
          <t>Pay - direct workforce costs (including TUPE adjustments)</t>
        </is>
      </c>
      <c r="C118" s="76">
        <f>C68</f>
        <v/>
      </c>
      <c r="D118" s="76">
        <f>D68</f>
        <v/>
      </c>
      <c r="E118" s="76">
        <f>E68</f>
        <v/>
      </c>
      <c r="F118" s="76">
        <f>F68</f>
        <v/>
      </c>
      <c r="G118" s="76">
        <f>G68</f>
        <v/>
      </c>
      <c r="H118" s="76">
        <f>SUM(C118:G118)</f>
        <v/>
      </c>
    </row>
    <row r="119">
      <c r="B119" s="24" t="inlineStr">
        <is>
          <t>Pay - indirect / central overhead costs</t>
        </is>
      </c>
      <c r="C119" s="76">
        <f>C84</f>
        <v/>
      </c>
      <c r="D119" s="76">
        <f>D84</f>
        <v/>
      </c>
      <c r="E119" s="76">
        <f>E84</f>
        <v/>
      </c>
      <c r="F119" s="76">
        <f>F84</f>
        <v/>
      </c>
      <c r="G119" s="76">
        <f>G84</f>
        <v/>
      </c>
      <c r="H119" s="76">
        <f>SUM(C119:G119)</f>
        <v/>
      </c>
    </row>
    <row r="120">
      <c r="B120" s="24" t="inlineStr">
        <is>
          <t>Non-pay costs</t>
        </is>
      </c>
      <c r="C120" s="76">
        <f>C115</f>
        <v/>
      </c>
      <c r="D120" s="76">
        <f>D115</f>
        <v/>
      </c>
      <c r="E120" s="76">
        <f>E115</f>
        <v/>
      </c>
      <c r="F120" s="76">
        <f>F115</f>
        <v/>
      </c>
      <c r="G120" s="76">
        <f>G115</f>
        <v/>
      </c>
      <c r="H120" s="76">
        <f>SUM(C120:G120)</f>
        <v/>
      </c>
    </row>
    <row r="121">
      <c r="B121" s="17" t="inlineStr">
        <is>
          <t>Total Costs</t>
        </is>
      </c>
      <c r="C121" s="77">
        <f>SUM(C118:C120)</f>
        <v/>
      </c>
      <c r="D121" s="77">
        <f>SUM(D118:D120)</f>
        <v/>
      </c>
      <c r="E121" s="77">
        <f>SUM(E118:E120)</f>
        <v/>
      </c>
      <c r="F121" s="77">
        <f>SUM(F118:F120)</f>
        <v/>
      </c>
      <c r="G121" s="77">
        <f>SUM(G118:G120)</f>
        <v/>
      </c>
      <c r="H121" s="77">
        <f>SUM(H118:H120)</f>
        <v/>
      </c>
    </row>
    <row r="123" ht="30" customHeight="1">
      <c r="A123" s="23" t="inlineStr">
        <is>
          <t>Bid Price</t>
        </is>
      </c>
      <c r="B123" s="55" t="inlineStr">
        <is>
          <t>Confirm  your bid price for each of the 5 years.</t>
        </is>
      </c>
      <c r="C123" s="14" t="inlineStr">
        <is>
          <t xml:space="preserve">Year 1
</t>
        </is>
      </c>
      <c r="D123" s="14" t="inlineStr">
        <is>
          <t xml:space="preserve">Year 2
</t>
        </is>
      </c>
      <c r="E123" s="14" t="inlineStr">
        <is>
          <t xml:space="preserve">Year 3
</t>
        </is>
      </c>
      <c r="F123" s="14" t="inlineStr">
        <is>
          <t xml:space="preserve">Year 4
</t>
        </is>
      </c>
      <c r="G123" s="14" t="inlineStr">
        <is>
          <t>Year 5</t>
        </is>
      </c>
      <c r="H123" s="14" t="inlineStr">
        <is>
          <t>5 year Total</t>
        </is>
      </c>
    </row>
    <row r="124" ht="18.75" customHeight="1">
      <c r="B124" s="36" t="inlineStr">
        <is>
          <t>Bid Price</t>
        </is>
      </c>
      <c r="C124" s="78" t="n"/>
      <c r="D124" s="78" t="n"/>
      <c r="E124" s="78" t="n"/>
      <c r="F124" s="78" t="n"/>
      <c r="G124" s="78" t="n"/>
      <c r="H124" s="79">
        <f>SUM(C124:G124)</f>
        <v/>
      </c>
    </row>
    <row r="126" ht="30" customHeight="1">
      <c r="C126" s="14" t="inlineStr">
        <is>
          <t xml:space="preserve">Year 1
</t>
        </is>
      </c>
      <c r="D126" s="14" t="inlineStr">
        <is>
          <t xml:space="preserve">Year 2
</t>
        </is>
      </c>
      <c r="E126" s="14" t="inlineStr">
        <is>
          <t xml:space="preserve">Year 3
</t>
        </is>
      </c>
      <c r="F126" s="14" t="inlineStr">
        <is>
          <t xml:space="preserve">Year 4
</t>
        </is>
      </c>
      <c r="G126" s="14" t="inlineStr">
        <is>
          <t>Year 5</t>
        </is>
      </c>
      <c r="H126" s="14" t="inlineStr">
        <is>
          <t>5 year Total</t>
        </is>
      </c>
    </row>
    <row r="127">
      <c r="A127" s="23" t="inlineStr">
        <is>
          <t>Margin</t>
        </is>
      </c>
      <c r="B127" s="24" t="inlineStr">
        <is>
          <t>Calculated margin (£) being Total Costs less Total Prices</t>
        </is>
      </c>
      <c r="C127" s="77">
        <f>C124-C121</f>
        <v/>
      </c>
      <c r="D127" s="77">
        <f>D124-D121</f>
        <v/>
      </c>
      <c r="E127" s="77">
        <f>E124-E121</f>
        <v/>
      </c>
      <c r="F127" s="77">
        <f>F124-F121</f>
        <v/>
      </c>
      <c r="G127" s="77">
        <f>G124-G121</f>
        <v/>
      </c>
      <c r="H127" s="77">
        <f>H124-H121</f>
        <v/>
      </c>
    </row>
    <row r="128">
      <c r="B128" s="24" t="inlineStr">
        <is>
          <t>Calculated margin (as % of Total Price)</t>
        </is>
      </c>
      <c r="C128" s="80">
        <f>C127/C124</f>
        <v/>
      </c>
      <c r="D128" s="80">
        <f>D127/D124</f>
        <v/>
      </c>
      <c r="E128" s="80">
        <f>E127/E124</f>
        <v/>
      </c>
      <c r="F128" s="80">
        <f>F127/F124</f>
        <v/>
      </c>
      <c r="G128" s="80">
        <f>G127/G124</f>
        <v/>
      </c>
      <c r="H128" s="80">
        <f>H127/H124</f>
        <v/>
      </c>
    </row>
    <row r="129">
      <c r="C129" s="81" t="n"/>
      <c r="D129" s="81" t="n"/>
      <c r="E129" s="81" t="n"/>
      <c r="F129" s="81" t="n"/>
      <c r="G129" s="81" t="n"/>
      <c r="H129" s="81" t="n"/>
    </row>
    <row r="130">
      <c r="C130" s="81" t="n"/>
      <c r="D130" s="81" t="n"/>
      <c r="E130" s="81" t="n"/>
      <c r="F130" s="81" t="n"/>
      <c r="G130" s="81" t="n"/>
      <c r="H130" s="81" t="n"/>
    </row>
    <row r="131">
      <c r="A131" s="8" t="n"/>
      <c r="B131" s="81" t="n"/>
      <c r="C131" s="81" t="n"/>
      <c r="D131" s="81" t="n"/>
      <c r="E131" s="81" t="n"/>
      <c r="F131" s="81" t="n"/>
      <c r="G131" s="81" t="n"/>
      <c r="H131" s="81" t="n"/>
    </row>
    <row r="132">
      <c r="C132" s="81" t="n"/>
      <c r="D132" s="81" t="n"/>
      <c r="E132" s="81" t="n"/>
      <c r="F132" s="81" t="n"/>
      <c r="G132" s="81" t="n"/>
      <c r="H132" s="81" t="n"/>
    </row>
    <row r="134" ht="49.5" customHeight="1">
      <c r="A134" s="2" t="inlineStr">
        <is>
          <t>9. Compliance of Bid Price</t>
        </is>
      </c>
      <c r="C134" s="14" t="inlineStr">
        <is>
          <t>Year 1
2026/2027</t>
        </is>
      </c>
      <c r="D134" s="14" t="inlineStr">
        <is>
          <t>Year 2
2027/2028</t>
        </is>
      </c>
      <c r="E134" s="14" t="inlineStr">
        <is>
          <t>Year 3
2028/2029</t>
        </is>
      </c>
      <c r="F134" s="14" t="inlineStr">
        <is>
          <t>Year 4
2029/2030</t>
        </is>
      </c>
      <c r="G134" s="14" t="inlineStr">
        <is>
          <t>Year 5
2030/2031</t>
        </is>
      </c>
      <c r="H134" s="14" t="inlineStr">
        <is>
          <t>5 year Total</t>
        </is>
      </c>
    </row>
    <row r="135">
      <c r="B135" s="38" t="inlineStr">
        <is>
          <t>Contracting Authority's Maximum Affordability Threshold</t>
        </is>
      </c>
      <c r="C135" s="82">
        <f>1458*1000</f>
        <v/>
      </c>
      <c r="D135" s="82">
        <f>1501*1000</f>
        <v/>
      </c>
      <c r="E135" s="82">
        <f>1546*1000</f>
        <v/>
      </c>
      <c r="F135" s="82">
        <f>1593*1000</f>
        <v/>
      </c>
      <c r="G135" s="82">
        <f>1640*1000</f>
        <v/>
      </c>
      <c r="H135" s="82">
        <f>SUM(C135:G135)</f>
        <v/>
      </c>
    </row>
    <row r="136">
      <c r="B136" s="51" t="inlineStr">
        <is>
          <t>Bidder's Prices</t>
        </is>
      </c>
      <c r="C136" s="76">
        <f>C124</f>
        <v/>
      </c>
      <c r="D136" s="76">
        <f>D124</f>
        <v/>
      </c>
      <c r="E136" s="83">
        <f>E124</f>
        <v/>
      </c>
      <c r="F136" s="76">
        <f>F124</f>
        <v/>
      </c>
      <c r="G136" s="76">
        <f>G124</f>
        <v/>
      </c>
      <c r="H136" s="76">
        <f>SUM(C136:G136)</f>
        <v/>
      </c>
    </row>
    <row r="137" ht="30" customHeight="1">
      <c r="A137" s="33" t="inlineStr">
        <is>
          <t>Compliant?</t>
        </is>
      </c>
      <c r="B137" s="39" t="inlineStr">
        <is>
          <t>Bid prices Compliant, or Not Compliant? (being less than, or equal to the Relevant Authority's Maximum Affordability Threshold)</t>
        </is>
      </c>
      <c r="C137" s="40">
        <f>IF((C136&lt;=C135),"COMPLIANT","NON COMPLIANT")</f>
        <v/>
      </c>
      <c r="D137" s="40">
        <f>IF((D136&lt;=D135),"COMPLIANT","NON COMPLIANT")</f>
        <v/>
      </c>
      <c r="E137" s="42">
        <f>IF((E136&lt;=E135),"COMPLIANT","NON COMPLIANT")</f>
        <v/>
      </c>
      <c r="F137" s="40">
        <f>IF((F136&lt;=F135),"COMPLIANT","NON COMPLIANT")</f>
        <v/>
      </c>
      <c r="G137" s="40">
        <f>IF((G136&lt;=G135),"COMPLIANT","NON COMPLIANT")</f>
        <v/>
      </c>
      <c r="H137" s="40">
        <f>IF((H136&lt;=H135),"COMPLIANT","NON COMPLIANT")</f>
        <v/>
      </c>
    </row>
    <row r="139" ht="69" customHeight="1">
      <c r="A139" s="3" t="inlineStr">
        <is>
          <t>10. Bidder notes</t>
        </is>
      </c>
      <c r="B139" s="55" t="inlineStr">
        <is>
          <t>Please use the space below to provide any supplementary notes to explain your costs and bid prices above. 
This could include how efficiencies are being delivered and also any set-up and mobilisation investment during year 1.
Please keep your notes sufficiently clear and detailed, yet succinct.</t>
        </is>
      </c>
      <c r="C139" s="73" t="n"/>
      <c r="D139" s="73" t="n"/>
      <c r="E139" s="73" t="n"/>
      <c r="F139" s="73" t="n"/>
      <c r="G139" s="73" t="n"/>
      <c r="H139" s="74" t="n"/>
    </row>
    <row r="140" ht="66" customHeight="1">
      <c r="B140" s="84" t="n"/>
      <c r="C140" s="73" t="n"/>
      <c r="D140" s="73" t="n"/>
      <c r="E140" s="73" t="n"/>
      <c r="F140" s="73" t="n"/>
      <c r="G140" s="73" t="n"/>
      <c r="H140" s="74" t="n"/>
    </row>
    <row r="141" ht="66" customHeight="1">
      <c r="B141" s="84" t="n"/>
      <c r="C141" s="73" t="n"/>
      <c r="D141" s="73" t="n"/>
      <c r="E141" s="73" t="n"/>
      <c r="F141" s="73" t="n"/>
      <c r="G141" s="73" t="n"/>
      <c r="H141" s="74" t="n"/>
    </row>
    <row r="142" ht="66" customHeight="1">
      <c r="B142" s="84" t="n"/>
      <c r="C142" s="73" t="n"/>
      <c r="D142" s="73" t="n"/>
      <c r="E142" s="73" t="n"/>
      <c r="F142" s="73" t="n"/>
      <c r="G142" s="73" t="n"/>
      <c r="H142" s="74" t="n"/>
    </row>
    <row r="143" ht="66" customHeight="1">
      <c r="B143" s="84" t="n"/>
      <c r="C143" s="73" t="n"/>
      <c r="D143" s="73" t="n"/>
      <c r="E143" s="73" t="n"/>
      <c r="F143" s="73" t="n"/>
      <c r="G143" s="73" t="n"/>
      <c r="H143" s="74" t="n"/>
    </row>
    <row r="144" ht="66" customHeight="1">
      <c r="B144" s="84" t="n"/>
      <c r="C144" s="73" t="n"/>
      <c r="D144" s="73" t="n"/>
      <c r="E144" s="73" t="n"/>
      <c r="F144" s="73" t="n"/>
      <c r="G144" s="73" t="n"/>
      <c r="H144" s="74" t="n"/>
    </row>
    <row r="145" ht="66" customHeight="1">
      <c r="A145" t="inlineStr">
        <is>
          <t>BIDDER NOTE:</t>
        </is>
      </c>
      <c r="B145" s="84" t="inlineStr">
        <is>
          <t>DRAFT - cost figures TBC pending clarifications: global sum/affordability (CQ5/CQ22), LES/DES revenue (CQ52), locum costs (CQ53), estates/service charges &amp; NIA (CQ9/CQ21/CQ44/CQ48), ARRS WTE (CQ50), QOF (CQ51). Verified estates: rent ~GBP 337,824/yr; rates ~GBP 12,906/yr. Annual Guidance Value GBP 1,640,000. Complete from confirmed data before submission.</t>
        </is>
      </c>
      <c r="C145" s="73" t="n"/>
      <c r="D145" s="73" t="n"/>
      <c r="E145" s="73" t="n"/>
      <c r="F145" s="73" t="n"/>
      <c r="G145" s="73" t="n"/>
      <c r="H145" s="74" t="n"/>
    </row>
    <row r="146" ht="66" customHeight="1">
      <c r="A146" t="inlineStr">
        <is>
          <t>List size:</t>
        </is>
      </c>
      <c r="B146" s="84" t="inlineStr">
        <is>
          <t>7,788 raw registered (1 Apr 2026); recalibrate to Carr-Hill weighted at award (CQ47).</t>
        </is>
      </c>
      <c r="C146" s="73" t="n"/>
      <c r="D146" s="73" t="n"/>
      <c r="E146" s="73" t="n"/>
      <c r="F146" s="73" t="n"/>
      <c r="G146" s="73" t="n"/>
      <c r="H146" s="74" t="n"/>
    </row>
    <row r="147" ht="66" customHeight="1">
      <c r="B147" s="84" t="n"/>
      <c r="C147" s="73" t="n"/>
      <c r="D147" s="73" t="n"/>
      <c r="E147" s="73" t="n"/>
      <c r="F147" s="73" t="n"/>
      <c r="G147" s="73" t="n"/>
      <c r="H147" s="74" t="n"/>
    </row>
    <row r="148" ht="66" customHeight="1">
      <c r="B148" s="84" t="n"/>
      <c r="C148" s="73" t="n"/>
      <c r="D148" s="73" t="n"/>
      <c r="E148" s="73" t="n"/>
      <c r="F148" s="73" t="n"/>
      <c r="G148" s="73" t="n"/>
      <c r="H148" s="74" t="n"/>
    </row>
    <row r="149" ht="66" customHeight="1">
      <c r="B149" s="84" t="n"/>
      <c r="C149" s="73" t="n"/>
      <c r="D149" s="73" t="n"/>
      <c r="E149" s="73" t="n"/>
      <c r="F149" s="73" t="n"/>
      <c r="G149" s="73" t="n"/>
      <c r="H149" s="74" t="n"/>
    </row>
    <row r="150" ht="66" customHeight="1">
      <c r="B150" s="84" t="n"/>
      <c r="C150" s="73" t="n"/>
      <c r="D150" s="73" t="n"/>
      <c r="E150" s="73" t="n"/>
      <c r="F150" s="73" t="n"/>
      <c r="G150" s="73" t="n"/>
      <c r="H150" s="74" t="n"/>
    </row>
  </sheetData>
  <mergeCells count="14">
    <mergeCell ref="B149:H149"/>
    <mergeCell ref="B143:H143"/>
    <mergeCell ref="B140:H140"/>
    <mergeCell ref="B148:H148"/>
    <mergeCell ref="B144:H144"/>
    <mergeCell ref="D3:H5"/>
    <mergeCell ref="B147:H147"/>
    <mergeCell ref="B139:H139"/>
    <mergeCell ref="B141:H141"/>
    <mergeCell ref="B142:H142"/>
    <mergeCell ref="B150:H150"/>
    <mergeCell ref="B146:H146"/>
    <mergeCell ref="B11:G11"/>
    <mergeCell ref="B145:H145"/>
  </mergeCells>
  <conditionalFormatting sqref="C137:H137">
    <cfRule type="cellIs" priority="1" operator="equal" dxfId="1">
      <formula>"NON COMPLIANT"</formula>
    </cfRule>
    <cfRule type="cellIs" priority="2" operator="equal" dxfId="0">
      <formula>"COMPLIANT"</formula>
    </cfRule>
  </conditionalFormatting>
  <pageMargins left="0.7086614173228347" right="0.7086614173228347" top="0.7480314960629921" bottom="0.7480314960629921" header="0.3149606299212598" footer="0.3149606299212598"/>
  <pageSetup orientation="portrait" paperSize="9" scale="35" fitToHeight="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David Brownlow</dc:creator>
  <dcterms:created xmlns:dcterms="http://purl.org/dc/terms/" xmlns:xsi="http://www.w3.org/2001/XMLSchema-instance" xsi:type="dcterms:W3CDTF">2015-12-06T09:21:05Z</dcterms:created>
  <dcterms:modified xmlns:dcterms="http://purl.org/dc/terms/" xmlns:xsi="http://www.w3.org/2001/XMLSchema-instance" xsi:type="dcterms:W3CDTF">2026-06-11T10:39:26Z</dcterms:modified>
  <cp:lastModifiedBy xml:space="preserve">CRAWFORD, Stevie (CENTRAL LONDON COMMUNITY HEALTHCARE </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0x010100ED006C8337AA284687A3CCF8C4285AE5</vt:lpwstr>
  </property>
  <property name="MediaServiceImageTags" fmtid="{D5CDD505-2E9C-101B-9397-08002B2CF9AE}" pid="3">
    <vt:lpwstr xmlns:vt="http://schemas.openxmlformats.org/officeDocument/2006/docPropsVTypes"/>
  </property>
</Properties>
</file>