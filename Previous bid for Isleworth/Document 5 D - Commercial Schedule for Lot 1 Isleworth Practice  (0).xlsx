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r Mahmood\OneDrive\Desktop\"/>
    </mc:Choice>
  </mc:AlternateContent>
  <xr:revisionPtr revIDLastSave="0" documentId="8_{BD513F54-9E36-411C-9544-2E97E50FF71F}" xr6:coauthVersionLast="47" xr6:coauthVersionMax="47" xr10:uidLastSave="{00000000-0000-0000-0000-000000000000}"/>
  <bookViews>
    <workbookView xWindow="-108" yWindow="-108" windowWidth="23256" windowHeight="12576" activeTab="1" xr2:uid="{00000000-000D-0000-FFFF-FFFF00000000}"/>
  </bookViews>
  <sheets>
    <sheet name="Notes to Bidder-  READ FIRST!" sheetId="1" r:id="rId1"/>
    <sheet name="Commercial Schedule" sheetId="2" r:id="rId2"/>
  </sheets>
  <calcPr calcId="181029"/>
  <extLst>
    <ext uri="GoogleSheetsCustomDataVersion2">
      <go:sheetsCustomData xmlns:go="http://customooxmlschemas.google.com/" r:id="rId6" roundtripDataChecksum="qX44m0ABPpum6Jr6LMLk37LP0Pj4OFy7XM2ka5OyzDg="/>
    </ext>
  </extLst>
</workbook>
</file>

<file path=xl/calcChain.xml><?xml version="1.0" encoding="utf-8"?>
<calcChain xmlns="http://schemas.openxmlformats.org/spreadsheetml/2006/main">
  <c r="F137" i="2" l="1"/>
  <c r="G136" i="2"/>
  <c r="F136" i="2"/>
  <c r="E136" i="2"/>
  <c r="E137" i="2" s="1"/>
  <c r="D136" i="2"/>
  <c r="D137" i="2" s="1"/>
  <c r="C136" i="2"/>
  <c r="C137" i="2" s="1"/>
  <c r="G135" i="2"/>
  <c r="G137" i="2" s="1"/>
  <c r="F135" i="2"/>
  <c r="E135" i="2"/>
  <c r="D135" i="2"/>
  <c r="H135" i="2" s="1"/>
  <c r="C135" i="2"/>
  <c r="H124" i="2"/>
  <c r="E120" i="2"/>
  <c r="C120" i="2"/>
  <c r="D119" i="2"/>
  <c r="C119" i="2"/>
  <c r="H119" i="2" s="1"/>
  <c r="G115" i="2"/>
  <c r="G120" i="2" s="1"/>
  <c r="F115" i="2"/>
  <c r="F120" i="2" s="1"/>
  <c r="E115" i="2"/>
  <c r="D115" i="2"/>
  <c r="D120" i="2" s="1"/>
  <c r="C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115" i="2" s="1"/>
  <c r="G84" i="2"/>
  <c r="G119" i="2" s="1"/>
  <c r="F84" i="2"/>
  <c r="F119" i="2" s="1"/>
  <c r="E84" i="2"/>
  <c r="E119" i="2" s="1"/>
  <c r="D84" i="2"/>
  <c r="C84" i="2"/>
  <c r="H83" i="2"/>
  <c r="H82" i="2"/>
  <c r="H81" i="2"/>
  <c r="H80" i="2"/>
  <c r="H79" i="2"/>
  <c r="H78" i="2"/>
  <c r="H77" i="2"/>
  <c r="H76" i="2"/>
  <c r="H75" i="2"/>
  <c r="H74" i="2"/>
  <c r="H73" i="2"/>
  <c r="H72" i="2"/>
  <c r="H71" i="2"/>
  <c r="H84" i="2" s="1"/>
  <c r="D68" i="2"/>
  <c r="D118" i="2" s="1"/>
  <c r="D121" i="2" s="1"/>
  <c r="D127" i="2" s="1"/>
  <c r="D128" i="2" s="1"/>
  <c r="G65" i="2"/>
  <c r="F65" i="2"/>
  <c r="E65" i="2"/>
  <c r="D65" i="2"/>
  <c r="C65" i="2"/>
  <c r="C68" i="2" s="1"/>
  <c r="H64" i="2"/>
  <c r="H63" i="2"/>
  <c r="H62" i="2"/>
  <c r="H65" i="2" s="1"/>
  <c r="H61" i="2"/>
  <c r="A61" i="2"/>
  <c r="H60" i="2"/>
  <c r="A60" i="2"/>
  <c r="H59" i="2"/>
  <c r="G56" i="2"/>
  <c r="G68" i="2" s="1"/>
  <c r="G118" i="2" s="1"/>
  <c r="F56" i="2"/>
  <c r="F68" i="2" s="1"/>
  <c r="F118" i="2" s="1"/>
  <c r="F121" i="2" s="1"/>
  <c r="F127" i="2" s="1"/>
  <c r="F128" i="2" s="1"/>
  <c r="E56" i="2"/>
  <c r="E68" i="2" s="1"/>
  <c r="E118" i="2" s="1"/>
  <c r="E121" i="2" s="1"/>
  <c r="E127" i="2" s="1"/>
  <c r="E128" i="2" s="1"/>
  <c r="D56" i="2"/>
  <c r="C56" i="2"/>
  <c r="H55" i="2"/>
  <c r="B55" i="2"/>
  <c r="H54" i="2"/>
  <c r="B54" i="2"/>
  <c r="H53" i="2"/>
  <c r="B53" i="2"/>
  <c r="H52" i="2"/>
  <c r="B52" i="2"/>
  <c r="H51" i="2"/>
  <c r="B51" i="2"/>
  <c r="H50" i="2"/>
  <c r="B50" i="2"/>
  <c r="H49" i="2"/>
  <c r="B49" i="2"/>
  <c r="H48" i="2"/>
  <c r="B48" i="2"/>
  <c r="H47" i="2"/>
  <c r="B47" i="2"/>
  <c r="H46" i="2"/>
  <c r="B46" i="2"/>
  <c r="H45" i="2"/>
  <c r="B45" i="2"/>
  <c r="H44" i="2"/>
  <c r="B44" i="2"/>
  <c r="H43" i="2"/>
  <c r="B43" i="2"/>
  <c r="H42" i="2"/>
  <c r="B42" i="2"/>
  <c r="H41" i="2"/>
  <c r="B41" i="2"/>
  <c r="H40" i="2"/>
  <c r="B40" i="2"/>
  <c r="H39" i="2"/>
  <c r="B39" i="2"/>
  <c r="H38" i="2"/>
  <c r="B38" i="2"/>
  <c r="H37" i="2"/>
  <c r="H56" i="2" s="1"/>
  <c r="B37" i="2"/>
  <c r="H36" i="2"/>
  <c r="B36" i="2"/>
  <c r="H35" i="2"/>
  <c r="B35" i="2"/>
  <c r="H8" i="2"/>
  <c r="H120" i="2" l="1"/>
  <c r="G121" i="2"/>
  <c r="G127" i="2" s="1"/>
  <c r="G128" i="2" s="1"/>
  <c r="H68" i="2"/>
  <c r="C118" i="2"/>
  <c r="H136" i="2"/>
  <c r="H137" i="2" s="1"/>
  <c r="H118" i="2" l="1"/>
  <c r="H121" i="2" s="1"/>
  <c r="H127" i="2" s="1"/>
  <c r="H128" i="2" s="1"/>
  <c r="C121" i="2"/>
  <c r="C127" i="2" s="1"/>
  <c r="C128" i="2" s="1"/>
</calcChain>
</file>

<file path=xl/sharedStrings.xml><?xml version="1.0" encoding="utf-8"?>
<sst xmlns="http://schemas.openxmlformats.org/spreadsheetml/2006/main" count="177" uniqueCount="123">
  <si>
    <t>Commercial Schedule – Procurement for the Provision of Primary Medical Services (General Practice) under APMS Contract Arrangements for Lot 1 Isleworth Medical Centre on behalf of NHS North West London Integrated Care Board (‘The Relevant Authority’)</t>
  </si>
  <si>
    <r>
      <rPr>
        <b/>
        <sz val="16"/>
        <color rgb="FFFF0000"/>
        <rFont val="Calibri"/>
      </rPr>
      <t xml:space="preserve">Notes to Bidders on completing this Commercial Schedule - </t>
    </r>
    <r>
      <rPr>
        <b/>
        <u/>
        <sz val="18"/>
        <color rgb="FFFF0000"/>
        <rFont val="Calibri"/>
      </rPr>
      <t>PLEASE READ</t>
    </r>
  </si>
  <si>
    <r>
      <rPr>
        <b/>
        <sz val="12"/>
        <color rgb="FFFF0000"/>
        <rFont val="Calibri"/>
      </rPr>
      <t>(a) WHAT YOU MUST DO</t>
    </r>
    <r>
      <rPr>
        <sz val="12"/>
        <color theme="1"/>
        <rFont val="Calibri"/>
      </rPr>
      <t xml:space="preserve"> - All bidders are requested to complete the Commercial Schedule within this Excel file.
Providing no information, or insufficient information is likely to render your bid as non-compliant.</t>
    </r>
  </si>
  <si>
    <t>(b) ASSUMPTIONS - the following assumptions apply to this procurement and specifically to your completion of this Commercial Schedule for the above tender:
 - The Relevant Authority has defined an assumed level of activity associated with the service to be delivered by the successful bidder for each year. These are detailed within section 1 of the Commercial Schedule.
 - that the bidder is able to deliver efficiencies during the contract term that is able to be passed through to the Relevant Authority these being reflected in the prices for the 5 years. 
- for planning purposes the model assumes a 3% annual uplift. This is based on the NHSE non-NHS uplift for 22/23. The actual uplift applied to the contract will be based on the NHSE non-NHS uplift when published.
 - that the bidder has taken reasonable due diligence in its assumptions regarding TUPE costs and factored these into the bid prices.
 - that each year shown represents a full 12-month period, from the commencement date of the new service.</t>
  </si>
  <si>
    <t>(c) EXPECTATIONS - in the completion and submission of your completed Commercial Schedule, the Relevant Authority has the following expectations from bidders:
 - That the bidder is able to demonstrate increasing financial efficiencies throughout the term of the 5 year contract, this being reflected in the prices for the 5 years.
 - that pay costs include ALL costs borne by the bidder, i.e. including pensions, NI and all liabilities and the bidder's anticipated changes to workforce salaries and wages during the term of the contract.
 - Where central / overhead costs are being taken into account, that these are an apportioned element of the bidder's running costs only, i.e. not the complete costs of running the bidder's business.</t>
  </si>
  <si>
    <t>(d) HOW PRICES WILL BE APPLIED
- The breakdown of costs to be provided by bidders through this Commercial Schedule will provide the Relevant Authority with assurance that the prices being tendered are reasonable and sufficient.
 - Whilst the assumed activity levels defined by the Relevant Authority have been provided for the purposes of ensuring like for like evaluation of prices from bidders, the Relevant Authority will pay for the services on the basis of the contractual terms defined within the Service Specification.</t>
  </si>
  <si>
    <r>
      <rPr>
        <b/>
        <sz val="12"/>
        <color rgb="FFFF0000"/>
        <rFont val="Calibri"/>
      </rPr>
      <t>(e) ENSURE YOUR BID IS COMPLIANT</t>
    </r>
    <r>
      <rPr>
        <sz val="12"/>
        <color theme="1"/>
        <rFont val="Calibri"/>
      </rPr>
      <t xml:space="preserve"> - For your bid to be received as Compliant, please ensure that you:
 - confirm WTE workforce details and numbers (section 2)
 - confirm complete workforce costs by staff type/grade for EACH of the 5 years (section 3)
 - confirm additional adjustments you are taking account of for TUPE (section 4)
- confirm direct and in-direct overheads (section 5)
 - confirm details and costs associated with all other pay costs, such as management &amp; overheads (section 6)
 - confirm details and costs for all non-pay costs (section 7)
 - insert your Bid Prices (section 8)
 - check that the total of your tendering Prices for each of the 5 years is below the  Maximum Affordability Threshold (section 9)
 - all monetary values must be GB Pounds Sterling (£)
</t>
    </r>
    <r>
      <rPr>
        <sz val="12"/>
        <color rgb="FFFF0000"/>
        <rFont val="Calibri"/>
      </rPr>
      <t xml:space="preserve"> - all prices should include applicable VAT.</t>
    </r>
  </si>
  <si>
    <t>(f) EVALUATION METHODOLOGY - The Relevant Authority will evaluate your bid submission in accordance with the evaluation criteria and scoring methodology as per the Instructions and Guidance and this Commercial Schedule.</t>
  </si>
  <si>
    <r>
      <rPr>
        <b/>
        <sz val="12"/>
        <color rgb="FFFF0000"/>
        <rFont val="Calibri"/>
      </rPr>
      <t>(g) SAVE YOUR FILE LOCALLY!</t>
    </r>
    <r>
      <rPr>
        <b/>
        <sz val="12"/>
        <color theme="1"/>
        <rFont val="Calibri"/>
      </rPr>
      <t xml:space="preserve"> </t>
    </r>
    <r>
      <rPr>
        <sz val="12"/>
        <color theme="1"/>
        <rFont val="Calibri"/>
      </rPr>
      <t xml:space="preserve"> When completing this Commercial Schedule, ensure that you save a copy to your local computer before submission.</t>
    </r>
  </si>
  <si>
    <t>(h) QUESTIONS? If you have any questions or concerns, please raise these with the Relevant Authority as a Clarification Question as soon as possible, and before the final date for such Clarification Questions, as defined within Procurement Timetable outlined within the ITT Document - Bidder Instructions</t>
  </si>
  <si>
    <t>End of notes</t>
  </si>
  <si>
    <t>Commercial Schedule:</t>
  </si>
  <si>
    <t>Delivery of 100% of base-line activity</t>
  </si>
  <si>
    <t>Information provided / defined by Contracting Authority</t>
  </si>
  <si>
    <r>
      <rPr>
        <b/>
        <sz val="14"/>
        <color rgb="FFFF0000"/>
        <rFont val="Calibri"/>
      </rPr>
      <t xml:space="preserve">Please follow all instructions shown in RED font, inputting information within the Yellow cells.
</t>
    </r>
    <r>
      <rPr>
        <b/>
        <u/>
        <sz val="14"/>
        <color rgb="FFFF0000"/>
        <rFont val="Calibri"/>
      </rPr>
      <t>This Worksheet (Pricing Matrix) assumes delivery of the 100% base-line activity</t>
    </r>
    <r>
      <rPr>
        <b/>
        <sz val="14"/>
        <color rgb="FFFF0000"/>
        <rFont val="Calibri"/>
      </rPr>
      <t xml:space="preserve"> as defined by the Contracting Authority.</t>
    </r>
  </si>
  <si>
    <t>Colour coding:</t>
  </si>
  <si>
    <t>Bidder data entry cell</t>
  </si>
  <si>
    <t>Totals and other auto-calculations and replications</t>
  </si>
  <si>
    <t xml:space="preserve">Year 1
</t>
  </si>
  <si>
    <t xml:space="preserve">Year 2
</t>
  </si>
  <si>
    <t xml:space="preserve">Year 3
</t>
  </si>
  <si>
    <t xml:space="preserve">Year 4
</t>
  </si>
  <si>
    <t>Year 5</t>
  </si>
  <si>
    <t>5 year Total</t>
  </si>
  <si>
    <r>
      <rPr>
        <b/>
        <sz val="12"/>
        <color theme="1"/>
        <rFont val="Calibri"/>
      </rPr>
      <t>1.Activity assumptions</t>
    </r>
    <r>
      <rPr>
        <sz val="12"/>
        <color theme="1"/>
        <rFont val="Calibri"/>
      </rPr>
      <t xml:space="preserve">
(defined by Relevant Authority)</t>
    </r>
  </si>
  <si>
    <t>Number of Patients Supported</t>
  </si>
  <si>
    <t>as per the quarterly practice raw and normalised weighted list size</t>
  </si>
  <si>
    <r>
      <rPr>
        <b/>
        <sz val="11"/>
        <color rgb="FFFF0000"/>
        <rFont val="Calibri"/>
      </rPr>
      <t xml:space="preserve">Detail below categories and roles of workforce including grades, then provide on the right, Whole Time Equivalent (WTE) numbers to deliver the service.
E.g. Medical Doctor - Consultant Grade, Medical Doctor - GP, Nursing, Healthcare Assistant - Band 3, Admin - Reception, Manager - Operational, etc.
</t>
    </r>
    <r>
      <rPr>
        <b/>
        <i/>
        <sz val="11"/>
        <color rgb="FFFF0000"/>
        <rFont val="Calibri"/>
      </rPr>
      <t>The details you enter below, will be replicated within the corresponding Cost Assumptions section for Workforce immediately below.</t>
    </r>
  </si>
  <si>
    <t>GP Partner — Medical (non‑AfC)</t>
  </si>
  <si>
    <t>Salaried GP — Medical (non‑AfC)</t>
  </si>
  <si>
    <t>Practice Nurse — AfC Band 6</t>
  </si>
  <si>
    <t>Healthcare Assistant — AfC Band 3</t>
  </si>
  <si>
    <t>Advanced Nurse Practitioner — AfC Band 8a</t>
  </si>
  <si>
    <t>Phlebotomist — AfC Band 2</t>
  </si>
  <si>
    <t>Clinical Pharmacist — AfC Band 7 (ARRS)</t>
  </si>
  <si>
    <t>Mental Health Counsellor — AfC Band 6</t>
  </si>
  <si>
    <t>Dietician — AfC Band 5</t>
  </si>
  <si>
    <t>Practice Manager — (non‑AfC; ~AfC 8a)</t>
  </si>
  <si>
    <t>Admin  — AfC Band 3 (includes 1 ARRS WTE)</t>
  </si>
  <si>
    <t>Reception/Patient Services — AfC Band 3</t>
  </si>
  <si>
    <t>Medical Secretary/PA — AfC Band 4</t>
  </si>
  <si>
    <t>Care Co‑ordinator  — AfC Band 4</t>
  </si>
  <si>
    <t>Pharmacy Technician — AfC Band 5</t>
  </si>
  <si>
    <t>Paramedic — AfC Band 7</t>
  </si>
  <si>
    <t>Physiotherapist - AfC Band 5</t>
  </si>
  <si>
    <t>[Profession/Role/Grade]</t>
  </si>
  <si>
    <t>3. Bidder's pay costs: Direct Workforce</t>
  </si>
  <si>
    <t>Confirm the total costs associated with each category of staff profession and grade for each of the 3 years.</t>
  </si>
  <si>
    <t>Sub-total: Workforce costs</t>
  </si>
  <si>
    <t>4. Bidder's pay costs: Additional TUPE Costs</t>
  </si>
  <si>
    <t xml:space="preserve">Confirm TUPE costs that will be used to adjust the  above workforce costs. </t>
  </si>
  <si>
    <t>tupe</t>
  </si>
  <si>
    <t>Base salary adjustment</t>
  </si>
  <si>
    <t>NIC adjustment</t>
  </si>
  <si>
    <t>Pension adjustment</t>
  </si>
  <si>
    <t>Other staff cost adjustments</t>
  </si>
  <si>
    <t>[Other staff costs adjustment - explain]</t>
  </si>
  <si>
    <t>Sub-total: TUPE adjustments</t>
  </si>
  <si>
    <t>Total Calculated Workforce Cost</t>
  </si>
  <si>
    <t>5. Bidder's pay costs: Indirect / Central Overheads</t>
  </si>
  <si>
    <t>Describe and confirm all indirect / central overhead costs related to support and management functions</t>
  </si>
  <si>
    <t xml:space="preserve">Facilities management and service charges (including waste, water, electricity, utilities) </t>
  </si>
  <si>
    <t>Finance (accounting and book-keeping)</t>
  </si>
  <si>
    <t>Security and portering</t>
  </si>
  <si>
    <t>HR, Recruitment, staff learning and training</t>
  </si>
  <si>
    <t>IT manager</t>
  </si>
  <si>
    <t>Executive directors (from corporate)</t>
  </si>
  <si>
    <t>Senior managers (from corporate)</t>
  </si>
  <si>
    <t>Clinical senior managers (from corporate)</t>
  </si>
  <si>
    <t>Senior management / Admin support as indirect (from corporate)</t>
  </si>
  <si>
    <t>Project manager (from corporate)</t>
  </si>
  <si>
    <t>Sub-total: Indirect / Central overheads</t>
  </si>
  <si>
    <t>7. Bidder's non-pay costs</t>
  </si>
  <si>
    <r>
      <rPr>
        <b/>
        <sz val="11"/>
        <color rgb="FFFF0000"/>
        <rFont val="Calibri"/>
      </rPr>
      <t xml:space="preserve">Describe and confirm all non-pay costs.
Estates and facilities costs have been provided in the model. Please include any other relevant costs. </t>
    </r>
    <r>
      <rPr>
        <sz val="11"/>
        <color rgb="FFFF0000"/>
        <rFont val="Calibri"/>
      </rPr>
      <t>This may include e.g. IT equipment (systems, maintenance), insurances, consumables (clinical, administrative), equipment (minor, capital), uniforms, training, telecommunications, transport, clinical support services (diagnostics, pathology, pharmacy), legal services, translation services, marketing, printing, start-up costs, et</t>
    </r>
    <r>
      <rPr>
        <b/>
        <sz val="11"/>
        <color rgb="FFFF0000"/>
        <rFont val="Calibri"/>
      </rPr>
      <t>c</t>
    </r>
  </si>
  <si>
    <t>IT software (incl. ECG and ABPM software) and maintenance</t>
  </si>
  <si>
    <t>IT hardware</t>
  </si>
  <si>
    <t>Translation services</t>
  </si>
  <si>
    <t>Printing, postage and stationary</t>
  </si>
  <si>
    <t xml:space="preserve">Staff training </t>
  </si>
  <si>
    <t>Legal</t>
  </si>
  <si>
    <t>Equipment</t>
  </si>
  <si>
    <t xml:space="preserve">Insurance </t>
  </si>
  <si>
    <t xml:space="preserve">Staff welfare (Away day/X-mas/retention) </t>
  </si>
  <si>
    <t>Marketing (Event/open days/PPG)</t>
  </si>
  <si>
    <t>Uniform</t>
  </si>
  <si>
    <t>Pathology</t>
  </si>
  <si>
    <t xml:space="preserve">Start up mobilization  cost </t>
  </si>
  <si>
    <t>Consumable (Admin+Clinical)</t>
  </si>
  <si>
    <t xml:space="preserve">Telecom </t>
  </si>
  <si>
    <t>Pathology and radiology</t>
  </si>
  <si>
    <t>Pharmacy</t>
  </si>
  <si>
    <t>Sub-total: non-pay costs</t>
  </si>
  <si>
    <t>8 Bidder Prices, total costs &amp; margin (for 100% of baseline activity)</t>
  </si>
  <si>
    <t>Costs</t>
  </si>
  <si>
    <t>Pay - direct workforce costs (including TUPE adjustments)</t>
  </si>
  <si>
    <t>Pay - indirect / central overhead costs</t>
  </si>
  <si>
    <t>Non-pay costs</t>
  </si>
  <si>
    <t>Total Costs</t>
  </si>
  <si>
    <t>Bid Price</t>
  </si>
  <si>
    <t>Confirm  your bid price for each of the 5 years.</t>
  </si>
  <si>
    <t>Margin</t>
  </si>
  <si>
    <t>Calculated margin (£) being Total Costs less Total Prices</t>
  </si>
  <si>
    <t>Calculated margin (as % of Total Price)</t>
  </si>
  <si>
    <t>9. Compliance of Bid Price</t>
  </si>
  <si>
    <t>Year 1
2026/2027</t>
  </si>
  <si>
    <t>Year 2
2027/2028</t>
  </si>
  <si>
    <t>Year 3
2028/2029</t>
  </si>
  <si>
    <t>Year 4
2029/2030</t>
  </si>
  <si>
    <t>Year 5
2030/2031</t>
  </si>
  <si>
    <t>Contracting Authority's Maximum Affordability Threshold</t>
  </si>
  <si>
    <t>Bidder's Prices</t>
  </si>
  <si>
    <t>Compliant?</t>
  </si>
  <si>
    <t>Bid prices Compliant, or Not Compliant? (being less than, or equal to the Contracting Authority's Maximum Affordability Threshold)</t>
  </si>
  <si>
    <t>10. Bidder notes</t>
  </si>
  <si>
    <r>
      <rPr>
        <b/>
        <sz val="11"/>
        <color rgb="FFFF0000"/>
        <rFont val="Calibri"/>
      </rPr>
      <t xml:space="preserve">Please use the space below to provide any supplementary notes to explain your costs and bid prices above. 
</t>
    </r>
    <r>
      <rPr>
        <sz val="11"/>
        <color rgb="FFFF0000"/>
        <rFont val="Calibri"/>
      </rPr>
      <t>This could include how efficiencies are being delivered and also any set-up and mobilisation investment during year 1.
Please keep your notes sufficiently clear and detailed, yet succinct.</t>
    </r>
  </si>
  <si>
    <t>Start up mobilisation costs include: Onboarding &amp; compliance: smartcards (RA), NHSmail, EMIS user licences, identity/DBS checks, OH screening, mandatory training top-ups; Legal/HR due diligence &amp; consultation: TUPE letters, information &amp; consultation (I&amp;C) time, drafting/novations; Uniform/equipment: laptops, headsets, clinical equipment for relevant roles; IT migration: user setup time, role-based access, MFA tokens, email/domain moves.</t>
  </si>
  <si>
    <t xml:space="preserve">Employer NI (£): We have costed Employer National Insurance on an annualised basis at 15% of each employee’s gross pay above the employer secondary threshold of £5,000, assuming standard NI category ‘A’ and no Employment Allowance offset; this reflects the 2025/26 HMRC rates and thresholds. </t>
  </si>
  <si>
    <t xml:space="preserve">Employer Pension (£): We have costed Employer Pension at 14.38% of pensionable pay for NHS Pension Scheme members (treating stated base salary as pensionable unless flagged otherwise, and £0 for non‑members), in line with DHSC’s 2025/26 transitional approach under which NHSBSA collects 14.38% from employers and the remaining 9.4% of the headline rate is centrally funded and therefore excluded from our cash costs. </t>
  </si>
  <si>
    <t xml:space="preserve">Pharmacist and an admin are ARRS funded therefore they have been placed at no cost in the workforce </t>
  </si>
  <si>
    <t>Efficiencies are delivered by a planned step‑down in the cost base after mobilisation (removing £56.5k of Year‑1 one‑offs: £40k start‑up + £16.5k TUPE), then holding the multidisciplinary WTE establishment, indirect overheads and non‑pay lines flat (e.g., facilities/service charges fixed at £105.1k p.a., IT/telecoms/consumables steady) while leveraging ARRS‑funded capacity (Clinical Pharmacist at £0)</t>
  </si>
  <si>
    <t>Efficiencies via shifting work to the most cost-effective roles to free GP time: ARRS-funded pharmacist runs repeats/SMRs; ANP handles minor illness; FCP paramedic does home/urgent visits; first-contact physio takes MSK; nurses/HCA deliver protocolised LTC reviews—together redirecting large volumes from GPs to appropriate clinicians.</t>
  </si>
  <si>
    <t xml:space="preserve">Efficiencies via tightening operations and hold fixed costs flat: care-coordination recalls and reception care-navigation cut DNAs/rebooks; admin triage reduces GP paperwork; in-house phlebotomy prevents repeat appointments; improved telephony smooths demand—while FM/service charges and other indirects stay flat, driving down cost per patient over time.
</t>
  </si>
  <si>
    <t>2% adjustment in staff costs to reflect inflation; inflationary expectations not built into overheads and operating costs to account for incremental efficiencies unlocked over next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</si>
</sst>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quot;£&quot;#,##0"/>
    <numFmt numFmtId="166" formatCode="&quot;£&quot;#,##0.00"/>
    <numFmt numFmtId="167" formatCode="0.0%"/>
  </numFmts>
  <fonts count="26">
    <font>
      <sz val="11"/>
      <color theme="1"/>
      <name val="Calibri"/>
      <scheme val="minor"/>
    </font>
    <font>
      <sz val="20"/>
      <color theme="1"/>
      <name val="Calibri"/>
    </font>
    <font>
      <sz val="11"/>
      <color theme="1"/>
      <name val="Calibri"/>
    </font>
    <font>
      <b/>
      <sz val="16"/>
      <color rgb="FFFF0000"/>
      <name val="Calibri"/>
    </font>
    <font>
      <sz val="12"/>
      <color theme="1"/>
      <name val="Calibri"/>
    </font>
    <font>
      <sz val="11"/>
      <color theme="1"/>
      <name val="Arial"/>
    </font>
    <font>
      <sz val="11"/>
      <color rgb="FF000000"/>
      <name val="Arial"/>
    </font>
    <font>
      <b/>
      <u/>
      <sz val="20"/>
      <color theme="1"/>
      <name val="Calibri"/>
    </font>
    <font>
      <b/>
      <u/>
      <sz val="20"/>
      <color theme="1"/>
      <name val="Calibri"/>
    </font>
    <font>
      <b/>
      <i/>
      <sz val="11"/>
      <color rgb="FFFF0000"/>
      <name val="Calibri"/>
    </font>
    <font>
      <i/>
      <sz val="11"/>
      <color theme="1"/>
      <name val="Calibri"/>
    </font>
    <font>
      <b/>
      <sz val="14"/>
      <color rgb="FFFF0000"/>
      <name val="Calibri"/>
    </font>
    <font>
      <sz val="11"/>
      <name val="Calibri"/>
    </font>
    <font>
      <b/>
      <i/>
      <sz val="11"/>
      <color theme="1"/>
      <name val="Calibri"/>
    </font>
    <font>
      <b/>
      <sz val="11"/>
      <color theme="1"/>
      <name val="Calibri"/>
    </font>
    <font>
      <b/>
      <sz val="12"/>
      <color theme="1"/>
      <name val="Calibri"/>
    </font>
    <font>
      <b/>
      <sz val="11"/>
      <color rgb="FFFF0000"/>
      <name val="Calibri"/>
    </font>
    <font>
      <b/>
      <sz val="11"/>
      <color rgb="FF0070C0"/>
      <name val="Calibri"/>
    </font>
    <font>
      <b/>
      <sz val="11"/>
      <color theme="4"/>
      <name val="Calibri"/>
    </font>
    <font>
      <b/>
      <sz val="14"/>
      <color theme="1"/>
      <name val="Calibri"/>
    </font>
    <font>
      <b/>
      <sz val="14"/>
      <color rgb="FF0070C0"/>
      <name val="Calibri"/>
    </font>
    <font>
      <b/>
      <u/>
      <sz val="18"/>
      <color rgb="FFFF0000"/>
      <name val="Calibri"/>
    </font>
    <font>
      <b/>
      <sz val="12"/>
      <color rgb="FFFF0000"/>
      <name val="Calibri"/>
    </font>
    <font>
      <sz val="12"/>
      <color rgb="FFFF0000"/>
      <name val="Calibri"/>
    </font>
    <font>
      <b/>
      <u/>
      <sz val="14"/>
      <color rgb="FFFF0000"/>
      <name val="Calibri"/>
    </font>
    <font>
      <sz val="11"/>
      <color rgb="FFFF0000"/>
      <name val="Calibri"/>
    </font>
  </fonts>
  <fills count="7">
    <fill>
      <patternFill patternType="none"/>
    </fill>
    <fill>
      <patternFill patternType="gray125"/>
    </fill>
    <fill>
      <patternFill patternType="solid">
        <fgColor rgb="FFDAEEF3"/>
        <bgColor rgb="FFDAEEF3"/>
      </patternFill>
    </fill>
    <fill>
      <patternFill patternType="solid">
        <fgColor rgb="FFD8D8D8"/>
        <bgColor rgb="FFD8D8D8"/>
      </patternFill>
    </fill>
    <fill>
      <patternFill patternType="solid">
        <fgColor rgb="FFFFFF00"/>
        <bgColor rgb="FFFFFF00"/>
      </patternFill>
    </fill>
    <fill>
      <patternFill patternType="solid">
        <fgColor rgb="FFFFFF99"/>
        <bgColor rgb="FFFFFF99"/>
      </patternFill>
    </fill>
    <fill>
      <patternFill patternType="solid">
        <fgColor rgb="FF00FF99"/>
        <bgColor rgb="FF00FF99"/>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ck">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thin">
        <color rgb="FF000000"/>
      </left>
      <right/>
      <top/>
      <bottom/>
      <diagonal/>
    </border>
    <border>
      <left style="thick">
        <color rgb="FFFF0000"/>
      </left>
      <right/>
      <top/>
      <bottom/>
      <diagonal/>
    </border>
    <border>
      <left/>
      <right style="medium">
        <color rgb="FFFF0000"/>
      </right>
      <top/>
      <bottom/>
      <diagonal/>
    </border>
    <border>
      <left style="thin">
        <color rgb="FF000000"/>
      </left>
      <right/>
      <top/>
      <bottom style="thin">
        <color rgb="FF000000"/>
      </bottom>
      <diagonal/>
    </border>
    <border>
      <left style="thick">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95B3D7"/>
      </top>
      <bottom style="thin">
        <color rgb="FF95B3D7"/>
      </bottom>
      <diagonal/>
    </border>
    <border>
      <left style="thin">
        <color rgb="FF000000"/>
      </left>
      <right/>
      <top style="thin">
        <color rgb="FF000000"/>
      </top>
      <bottom style="thin">
        <color rgb="FF000000"/>
      </bottom>
      <diagonal/>
    </border>
  </borders>
  <cellStyleXfs count="1">
    <xf numFmtId="0" fontId="0" fillId="0" borderId="0"/>
  </cellStyleXfs>
  <cellXfs count="67">
    <xf numFmtId="0" fontId="0" fillId="0" borderId="0" xfId="0"/>
    <xf numFmtId="0" fontId="1" fillId="2" borderId="1" xfId="0" applyFont="1" applyFill="1" applyBorder="1" applyAlignment="1">
      <alignment vertical="top" wrapText="1"/>
    </xf>
    <xf numFmtId="0" fontId="2" fillId="0" borderId="0" xfId="0" applyFont="1" applyAlignment="1">
      <alignment vertical="top"/>
    </xf>
    <xf numFmtId="0" fontId="3" fillId="0" borderId="1" xfId="0" applyFont="1" applyBorder="1" applyAlignment="1">
      <alignment vertical="top" wrapText="1"/>
    </xf>
    <xf numFmtId="0" fontId="2" fillId="0" borderId="0" xfId="0" applyFont="1" applyAlignment="1">
      <alignment vertical="top" wrapText="1"/>
    </xf>
    <xf numFmtId="0" fontId="4" fillId="0" borderId="1" xfId="0" applyFont="1" applyBorder="1" applyAlignment="1">
      <alignment vertical="top" wrapText="1"/>
    </xf>
    <xf numFmtId="0" fontId="2" fillId="3" borderId="1" xfId="0" applyFont="1" applyFill="1" applyBorder="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7" fillId="0" borderId="0" xfId="0" applyFont="1" applyAlignment="1">
      <alignment horizontal="right" vertical="top"/>
    </xf>
    <xf numFmtId="0" fontId="8" fillId="0" borderId="0" xfId="0" applyFont="1" applyAlignment="1">
      <alignment horizontal="left" vertical="top"/>
    </xf>
    <xf numFmtId="0" fontId="2" fillId="0" borderId="0" xfId="0" applyFont="1" applyAlignment="1">
      <alignment horizontal="left" vertical="top"/>
    </xf>
    <xf numFmtId="0" fontId="9" fillId="0" borderId="2" xfId="0" applyFont="1" applyBorder="1" applyAlignment="1">
      <alignment horizontal="right" vertical="top"/>
    </xf>
    <xf numFmtId="0" fontId="10" fillId="2" borderId="1" xfId="0" applyFont="1" applyFill="1" applyBorder="1" applyAlignment="1">
      <alignment horizontal="left" vertical="center" wrapText="1"/>
    </xf>
    <xf numFmtId="0" fontId="13" fillId="0" borderId="6" xfId="0" applyFont="1" applyBorder="1" applyAlignment="1">
      <alignment horizontal="center" vertical="top"/>
    </xf>
    <xf numFmtId="0" fontId="10" fillId="5" borderId="1" xfId="0" applyFont="1" applyFill="1" applyBorder="1" applyAlignment="1">
      <alignment horizontal="left" vertical="center"/>
    </xf>
    <xf numFmtId="0" fontId="2" fillId="0" borderId="9" xfId="0" applyFont="1" applyBorder="1" applyAlignment="1">
      <alignment horizontal="left" vertical="top"/>
    </xf>
    <xf numFmtId="0" fontId="10" fillId="6" borderId="1" xfId="0" applyFont="1" applyFill="1" applyBorder="1" applyAlignment="1">
      <alignment horizontal="left" vertical="center"/>
    </xf>
    <xf numFmtId="0" fontId="14" fillId="4" borderId="1" xfId="0" applyFont="1" applyFill="1" applyBorder="1" applyAlignment="1">
      <alignment horizontal="right" vertical="top" wrapText="1"/>
    </xf>
    <xf numFmtId="0" fontId="14" fillId="0" borderId="1" xfId="0" applyFont="1" applyBorder="1" applyAlignment="1">
      <alignment horizontal="right" vertical="top" wrapText="1"/>
    </xf>
    <xf numFmtId="0" fontId="4" fillId="0" borderId="0" xfId="0" applyFont="1" applyAlignment="1">
      <alignment horizontal="left" vertical="top" wrapText="1"/>
    </xf>
    <xf numFmtId="0" fontId="2" fillId="2" borderId="1" xfId="0" applyFont="1" applyFill="1" applyBorder="1" applyAlignment="1">
      <alignment horizontal="left" vertical="top" wrapText="1"/>
    </xf>
    <xf numFmtId="38" fontId="14" fillId="2" borderId="1" xfId="0" applyNumberFormat="1" applyFont="1" applyFill="1" applyBorder="1" applyAlignment="1">
      <alignment horizontal="right" vertical="top"/>
    </xf>
    <xf numFmtId="0" fontId="2" fillId="0" borderId="0" xfId="0" applyFont="1" applyAlignment="1">
      <alignment horizontal="right" vertical="top"/>
    </xf>
    <xf numFmtId="0" fontId="15" fillId="0" borderId="0" xfId="0" applyFont="1" applyAlignment="1">
      <alignment horizontal="left" vertical="top" wrapText="1"/>
    </xf>
    <xf numFmtId="0" fontId="14" fillId="0" borderId="0" xfId="0" applyFont="1"/>
    <xf numFmtId="0" fontId="17" fillId="5" borderId="1" xfId="0" applyFont="1" applyFill="1" applyBorder="1" applyAlignment="1">
      <alignment horizontal="left" vertical="top"/>
    </xf>
    <xf numFmtId="0" fontId="17" fillId="5" borderId="1" xfId="0" applyFont="1" applyFill="1" applyBorder="1" applyAlignment="1">
      <alignment horizontal="right" vertical="top"/>
    </xf>
    <xf numFmtId="164" fontId="18" fillId="5" borderId="16" xfId="0" applyNumberFormat="1" applyFont="1" applyFill="1" applyBorder="1"/>
    <xf numFmtId="0" fontId="16" fillId="0" borderId="1" xfId="0" applyFont="1" applyBorder="1" applyAlignment="1">
      <alignment horizontal="left" vertical="top" wrapText="1"/>
    </xf>
    <xf numFmtId="0" fontId="17" fillId="6" borderId="1" xfId="0" applyFont="1" applyFill="1" applyBorder="1" applyAlignment="1">
      <alignment horizontal="left" vertical="top"/>
    </xf>
    <xf numFmtId="165" fontId="17" fillId="5" borderId="1" xfId="0" applyNumberFormat="1" applyFont="1" applyFill="1" applyBorder="1" applyAlignment="1">
      <alignment horizontal="right" vertical="top"/>
    </xf>
    <xf numFmtId="165" fontId="2" fillId="6" borderId="1" xfId="0" applyNumberFormat="1" applyFont="1" applyFill="1" applyBorder="1" applyAlignment="1">
      <alignment horizontal="right" vertical="top"/>
    </xf>
    <xf numFmtId="166" fontId="2" fillId="0" borderId="0" xfId="0" applyNumberFormat="1" applyFont="1" applyAlignment="1">
      <alignment horizontal="left" vertical="top"/>
    </xf>
    <xf numFmtId="0" fontId="14" fillId="6" borderId="1" xfId="0" applyFont="1" applyFill="1" applyBorder="1" applyAlignment="1">
      <alignment horizontal="left" vertical="top"/>
    </xf>
    <xf numFmtId="165" fontId="14" fillId="6" borderId="1" xfId="0" applyNumberFormat="1" applyFont="1" applyFill="1" applyBorder="1" applyAlignment="1">
      <alignment horizontal="right" vertical="top"/>
    </xf>
    <xf numFmtId="0" fontId="2" fillId="0" borderId="1" xfId="0" applyFont="1" applyBorder="1" applyAlignment="1">
      <alignment horizontal="left" vertical="top"/>
    </xf>
    <xf numFmtId="0" fontId="15" fillId="0" borderId="0" xfId="0" applyFont="1" applyAlignment="1">
      <alignment horizontal="left" vertical="top"/>
    </xf>
    <xf numFmtId="0" fontId="14" fillId="0" borderId="0" xfId="0" applyFont="1" applyAlignment="1">
      <alignment horizontal="right" vertical="top"/>
    </xf>
    <xf numFmtId="0" fontId="2" fillId="6" borderId="1" xfId="0" applyFont="1" applyFill="1" applyBorder="1" applyAlignment="1">
      <alignment horizontal="left" vertical="top"/>
    </xf>
    <xf numFmtId="0" fontId="19" fillId="0" borderId="1" xfId="0" applyFont="1" applyBorder="1" applyAlignment="1">
      <alignment horizontal="left" vertical="top"/>
    </xf>
    <xf numFmtId="165" fontId="20" fillId="5" borderId="1" xfId="0" applyNumberFormat="1" applyFont="1" applyFill="1" applyBorder="1" applyAlignment="1">
      <alignment horizontal="right" vertical="top"/>
    </xf>
    <xf numFmtId="165" fontId="19" fillId="6" borderId="1" xfId="0" applyNumberFormat="1" applyFont="1" applyFill="1" applyBorder="1" applyAlignment="1">
      <alignment horizontal="right" vertical="top"/>
    </xf>
    <xf numFmtId="167" fontId="2" fillId="6" borderId="1" xfId="0" applyNumberFormat="1" applyFont="1" applyFill="1" applyBorder="1" applyAlignment="1">
      <alignment horizontal="right" vertical="top"/>
    </xf>
    <xf numFmtId="167" fontId="2" fillId="0" borderId="0" xfId="0" applyNumberFormat="1" applyFont="1" applyAlignment="1">
      <alignment horizontal="right" vertical="top"/>
    </xf>
    <xf numFmtId="0" fontId="2" fillId="2" borderId="17" xfId="0" applyFont="1" applyFill="1" applyBorder="1" applyAlignment="1">
      <alignment vertical="top" wrapText="1"/>
    </xf>
    <xf numFmtId="165" fontId="2" fillId="2" borderId="1" xfId="0" applyNumberFormat="1" applyFont="1" applyFill="1" applyBorder="1" applyAlignment="1">
      <alignment horizontal="right" vertical="top"/>
    </xf>
    <xf numFmtId="0" fontId="2" fillId="4" borderId="1" xfId="0" applyFont="1" applyFill="1" applyBorder="1" applyAlignment="1">
      <alignment horizontal="left" vertical="top"/>
    </xf>
    <xf numFmtId="165" fontId="2" fillId="6" borderId="17" xfId="0" applyNumberFormat="1" applyFont="1" applyFill="1" applyBorder="1" applyAlignment="1">
      <alignment horizontal="right" vertical="top"/>
    </xf>
    <xf numFmtId="0" fontId="14" fillId="0" borderId="0" xfId="0" applyFont="1" applyAlignment="1">
      <alignment horizontal="right" vertical="center"/>
    </xf>
    <xf numFmtId="0" fontId="2" fillId="6" borderId="17" xfId="0" applyFont="1" applyFill="1" applyBorder="1" applyAlignment="1">
      <alignment vertical="center" wrapText="1"/>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17" fillId="5" borderId="13" xfId="0" applyFont="1" applyFill="1" applyBorder="1" applyAlignment="1">
      <alignment horizontal="left" vertical="top" wrapText="1"/>
    </xf>
    <xf numFmtId="0" fontId="12" fillId="0" borderId="14" xfId="0" applyFont="1" applyBorder="1"/>
    <xf numFmtId="0" fontId="12" fillId="0" borderId="15" xfId="0" applyFont="1" applyBorder="1"/>
    <xf numFmtId="0" fontId="11" fillId="4" borderId="3" xfId="0" applyFont="1" applyFill="1" applyBorder="1" applyAlignment="1">
      <alignment horizontal="center" vertical="center" wrapText="1"/>
    </xf>
    <xf numFmtId="0" fontId="12" fillId="0" borderId="4" xfId="0" applyFont="1" applyBorder="1"/>
    <xf numFmtId="0" fontId="12" fillId="0" borderId="5" xfId="0" applyFont="1" applyBorder="1"/>
    <xf numFmtId="0" fontId="12" fillId="0" borderId="7" xfId="0" applyFont="1" applyBorder="1"/>
    <xf numFmtId="0" fontId="0" fillId="0" borderId="0" xfId="0"/>
    <xf numFmtId="0" fontId="12" fillId="0" borderId="8" xfId="0" applyFont="1" applyBorder="1"/>
    <xf numFmtId="0" fontId="12" fillId="0" borderId="10" xfId="0" applyFont="1" applyBorder="1"/>
    <xf numFmtId="0" fontId="12" fillId="0" borderId="11" xfId="0" applyFont="1" applyBorder="1"/>
    <xf numFmtId="0" fontId="12" fillId="0" borderId="12" xfId="0" applyFont="1" applyBorder="1"/>
    <xf numFmtId="38" fontId="14" fillId="2" borderId="13" xfId="0" applyNumberFormat="1" applyFont="1" applyFill="1" applyBorder="1" applyAlignment="1">
      <alignment horizontal="center" vertical="top" wrapText="1"/>
    </xf>
    <xf numFmtId="0" fontId="16" fillId="0" borderId="13" xfId="0" applyFont="1" applyBorder="1" applyAlignment="1">
      <alignment horizontal="left" vertical="top" wrapText="1"/>
    </xf>
  </cellXfs>
  <cellStyles count="1">
    <cellStyle name="Normal" xfId="0" builtinId="0"/>
  </cellStyles>
  <dxfs count="2">
    <dxf>
      <fill>
        <patternFill patternType="solid">
          <fgColor rgb="FF9AFC24"/>
          <bgColor rgb="FF9AFC24"/>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heetViews>
  <sheetFormatPr defaultColWidth="14.44140625" defaultRowHeight="15" customHeight="1"/>
  <cols>
    <col min="1" max="1" width="225.33203125" customWidth="1"/>
    <col min="2" max="26" width="9.109375" customWidth="1"/>
  </cols>
  <sheetData>
    <row r="1" spans="1:26" ht="72"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23.4">
      <c r="A2" s="3" t="s">
        <v>1</v>
      </c>
      <c r="B2" s="4"/>
      <c r="C2" s="4"/>
      <c r="D2" s="4"/>
      <c r="E2" s="4"/>
      <c r="F2" s="4"/>
      <c r="G2" s="4"/>
      <c r="H2" s="4"/>
      <c r="I2" s="4"/>
      <c r="J2" s="4"/>
      <c r="K2" s="4"/>
      <c r="L2" s="4"/>
      <c r="M2" s="4"/>
      <c r="N2" s="4"/>
      <c r="O2" s="4"/>
      <c r="P2" s="4"/>
      <c r="Q2" s="4"/>
      <c r="R2" s="4"/>
      <c r="S2" s="4"/>
      <c r="T2" s="4"/>
      <c r="U2" s="4"/>
      <c r="V2" s="4"/>
      <c r="W2" s="4"/>
      <c r="X2" s="4"/>
      <c r="Y2" s="4"/>
      <c r="Z2" s="4"/>
    </row>
    <row r="3" spans="1:26" ht="72.75" customHeight="1">
      <c r="A3" s="5" t="s">
        <v>2</v>
      </c>
      <c r="B3" s="4"/>
      <c r="C3" s="4"/>
      <c r="D3" s="4"/>
      <c r="E3" s="4"/>
      <c r="F3" s="4"/>
      <c r="G3" s="4"/>
      <c r="H3" s="4"/>
      <c r="I3" s="4"/>
      <c r="J3" s="4"/>
      <c r="K3" s="4"/>
      <c r="L3" s="4"/>
      <c r="M3" s="4"/>
      <c r="N3" s="4"/>
      <c r="O3" s="4"/>
      <c r="P3" s="4"/>
      <c r="Q3" s="4"/>
      <c r="R3" s="4"/>
      <c r="S3" s="4"/>
      <c r="T3" s="4"/>
      <c r="U3" s="4"/>
      <c r="V3" s="4"/>
      <c r="W3" s="4"/>
      <c r="X3" s="4"/>
      <c r="Y3" s="4"/>
      <c r="Z3" s="4"/>
    </row>
    <row r="4" spans="1:26" ht="126.75" customHeight="1">
      <c r="A4" s="5" t="s">
        <v>3</v>
      </c>
      <c r="B4" s="4"/>
      <c r="C4" s="4"/>
      <c r="D4" s="4"/>
      <c r="E4" s="4"/>
      <c r="F4" s="4"/>
      <c r="G4" s="4"/>
      <c r="H4" s="4"/>
      <c r="I4" s="4"/>
      <c r="J4" s="4"/>
      <c r="K4" s="4"/>
      <c r="L4" s="4"/>
      <c r="M4" s="4"/>
      <c r="N4" s="4"/>
      <c r="O4" s="4"/>
      <c r="P4" s="4"/>
      <c r="Q4" s="4"/>
      <c r="R4" s="4"/>
      <c r="S4" s="4"/>
      <c r="T4" s="4"/>
      <c r="U4" s="4"/>
      <c r="V4" s="4"/>
      <c r="W4" s="4"/>
      <c r="X4" s="4"/>
      <c r="Y4" s="4"/>
      <c r="Z4" s="4"/>
    </row>
    <row r="5" spans="1:26" ht="86.25" customHeight="1">
      <c r="A5" s="5" t="s">
        <v>4</v>
      </c>
      <c r="B5" s="4"/>
      <c r="C5" s="4"/>
      <c r="D5" s="4"/>
      <c r="E5" s="4"/>
      <c r="F5" s="4"/>
      <c r="G5" s="4"/>
      <c r="H5" s="4"/>
      <c r="I5" s="4"/>
      <c r="J5" s="4"/>
      <c r="K5" s="4"/>
      <c r="L5" s="4"/>
      <c r="M5" s="4"/>
      <c r="N5" s="4"/>
      <c r="O5" s="4"/>
      <c r="P5" s="4"/>
      <c r="Q5" s="4"/>
      <c r="R5" s="4"/>
      <c r="S5" s="4"/>
      <c r="T5" s="4"/>
      <c r="U5" s="4"/>
      <c r="V5" s="4"/>
      <c r="W5" s="4"/>
      <c r="X5" s="4"/>
      <c r="Y5" s="4"/>
      <c r="Z5" s="4"/>
    </row>
    <row r="6" spans="1:26" ht="108" customHeight="1">
      <c r="A6" s="5" t="s">
        <v>5</v>
      </c>
      <c r="B6" s="4"/>
      <c r="C6" s="4"/>
      <c r="D6" s="4"/>
      <c r="E6" s="4"/>
      <c r="F6" s="4"/>
      <c r="G6" s="4"/>
      <c r="H6" s="4"/>
      <c r="I6" s="4"/>
      <c r="J6" s="4"/>
      <c r="K6" s="4"/>
      <c r="L6" s="4"/>
      <c r="M6" s="4"/>
      <c r="N6" s="4"/>
      <c r="O6" s="4"/>
      <c r="P6" s="4"/>
      <c r="Q6" s="4"/>
      <c r="R6" s="4"/>
      <c r="S6" s="4"/>
      <c r="T6" s="4"/>
      <c r="U6" s="4"/>
      <c r="V6" s="4"/>
      <c r="W6" s="4"/>
      <c r="X6" s="4"/>
      <c r="Y6" s="4"/>
      <c r="Z6" s="4"/>
    </row>
    <row r="7" spans="1:26" ht="206.25" customHeight="1">
      <c r="A7" s="5" t="s">
        <v>6</v>
      </c>
      <c r="B7" s="4"/>
      <c r="C7" s="4"/>
      <c r="D7" s="4"/>
      <c r="E7" s="4"/>
      <c r="F7" s="4"/>
      <c r="G7" s="4"/>
      <c r="H7" s="4"/>
      <c r="I7" s="4"/>
      <c r="J7" s="4"/>
      <c r="K7" s="4"/>
      <c r="L7" s="4"/>
      <c r="M7" s="4"/>
      <c r="N7" s="4"/>
      <c r="O7" s="4"/>
      <c r="P7" s="4"/>
      <c r="Q7" s="4"/>
      <c r="R7" s="4"/>
      <c r="S7" s="4"/>
      <c r="T7" s="4"/>
      <c r="U7" s="4"/>
      <c r="V7" s="4"/>
      <c r="W7" s="4"/>
      <c r="X7" s="4"/>
      <c r="Y7" s="4"/>
      <c r="Z7" s="4"/>
    </row>
    <row r="8" spans="1:26" ht="73.5" customHeight="1">
      <c r="A8" s="5" t="s">
        <v>7</v>
      </c>
      <c r="B8" s="4"/>
      <c r="C8" s="4"/>
      <c r="D8" s="4"/>
      <c r="E8" s="4"/>
      <c r="F8" s="4"/>
      <c r="G8" s="4"/>
      <c r="H8" s="4"/>
      <c r="I8" s="4"/>
      <c r="J8" s="4"/>
      <c r="K8" s="4"/>
      <c r="L8" s="4"/>
      <c r="M8" s="4"/>
      <c r="N8" s="4"/>
      <c r="O8" s="4"/>
      <c r="P8" s="4"/>
      <c r="Q8" s="4"/>
      <c r="R8" s="4"/>
      <c r="S8" s="4"/>
      <c r="T8" s="4"/>
      <c r="U8" s="4"/>
      <c r="V8" s="4"/>
      <c r="W8" s="4"/>
      <c r="X8" s="4"/>
      <c r="Y8" s="4"/>
      <c r="Z8" s="4"/>
    </row>
    <row r="9" spans="1:26" ht="58.5" customHeight="1">
      <c r="A9" s="5" t="s">
        <v>8</v>
      </c>
      <c r="B9" s="4"/>
      <c r="C9" s="4"/>
      <c r="D9" s="4"/>
      <c r="E9" s="4"/>
      <c r="F9" s="4"/>
      <c r="G9" s="4"/>
      <c r="H9" s="4"/>
      <c r="I9" s="4"/>
      <c r="J9" s="4"/>
      <c r="K9" s="4"/>
      <c r="L9" s="4"/>
      <c r="M9" s="4"/>
      <c r="N9" s="4"/>
      <c r="O9" s="4"/>
      <c r="P9" s="4"/>
      <c r="Q9" s="4"/>
      <c r="R9" s="4"/>
      <c r="S9" s="4"/>
      <c r="T9" s="4"/>
      <c r="U9" s="4"/>
      <c r="V9" s="4"/>
      <c r="W9" s="4"/>
      <c r="X9" s="4"/>
      <c r="Y9" s="4"/>
      <c r="Z9" s="4"/>
    </row>
    <row r="10" spans="1:26" ht="71.25" customHeight="1">
      <c r="A10" s="5" t="s">
        <v>9</v>
      </c>
      <c r="B10" s="4"/>
      <c r="C10" s="4"/>
      <c r="D10" s="4"/>
      <c r="E10" s="4"/>
      <c r="F10" s="4"/>
      <c r="G10" s="4"/>
      <c r="H10" s="4"/>
      <c r="I10" s="4"/>
      <c r="J10" s="4"/>
      <c r="K10" s="4"/>
      <c r="L10" s="4"/>
      <c r="M10" s="4"/>
      <c r="N10" s="4"/>
      <c r="O10" s="4"/>
      <c r="P10" s="4"/>
      <c r="Q10" s="4"/>
      <c r="R10" s="4"/>
      <c r="S10" s="4"/>
      <c r="T10" s="4"/>
      <c r="U10" s="4"/>
      <c r="V10" s="4"/>
      <c r="W10" s="4"/>
      <c r="X10" s="4"/>
      <c r="Y10" s="4"/>
      <c r="Z10" s="4"/>
    </row>
    <row r="11" spans="1:26" ht="14.4">
      <c r="A11" s="6" t="s">
        <v>10</v>
      </c>
      <c r="B11" s="4"/>
      <c r="C11" s="4"/>
      <c r="D11" s="4"/>
      <c r="E11" s="4"/>
      <c r="F11" s="4"/>
      <c r="G11" s="4"/>
      <c r="H11" s="4"/>
      <c r="I11" s="4"/>
      <c r="J11" s="4"/>
      <c r="K11" s="4"/>
      <c r="L11" s="4"/>
      <c r="M11" s="4"/>
      <c r="N11" s="4"/>
      <c r="O11" s="4"/>
      <c r="P11" s="4"/>
      <c r="Q11" s="4"/>
      <c r="R11" s="4"/>
      <c r="S11" s="4"/>
      <c r="T11" s="4"/>
      <c r="U11" s="4"/>
      <c r="V11" s="4"/>
      <c r="W11" s="4"/>
      <c r="X11" s="4"/>
      <c r="Y11" s="4"/>
      <c r="Z11" s="4"/>
    </row>
    <row r="12" spans="1:26" ht="14.4">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4">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4">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4">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4">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4">
      <c r="A17" s="7"/>
      <c r="B17" s="7"/>
      <c r="C17" s="7"/>
      <c r="D17" s="7"/>
      <c r="E17" s="7"/>
      <c r="F17" s="7"/>
      <c r="G17" s="7"/>
      <c r="H17" s="7"/>
      <c r="I17" s="7"/>
      <c r="J17" s="8"/>
      <c r="K17" s="8"/>
      <c r="L17" s="2"/>
      <c r="M17" s="2"/>
      <c r="N17" s="2"/>
      <c r="O17" s="2"/>
      <c r="P17" s="2"/>
      <c r="Q17" s="2"/>
      <c r="R17" s="2"/>
      <c r="S17" s="2"/>
      <c r="T17" s="2"/>
      <c r="U17" s="2"/>
      <c r="V17" s="2"/>
      <c r="W17" s="2"/>
      <c r="X17" s="2"/>
      <c r="Y17" s="2"/>
      <c r="Z17" s="2"/>
    </row>
    <row r="18" spans="1:26" ht="14.4">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0866141732283472" right="0.70866141732283472" top="0.74803149606299213" bottom="0.74803149606299213" header="0" footer="0"/>
  <pageSetup paperSize="9" orientation="portrait"/>
  <rowBreaks count="1" manualBreakCount="1">
    <brk id="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abSelected="1" topLeftCell="A25" workbookViewId="0">
      <selection activeCell="A135" sqref="A135"/>
    </sheetView>
  </sheetViews>
  <sheetFormatPr defaultColWidth="14.44140625" defaultRowHeight="15" customHeight="1"/>
  <cols>
    <col min="1" max="1" width="49.33203125" customWidth="1"/>
    <col min="2" max="2" width="77.33203125" customWidth="1"/>
    <col min="3" max="5" width="14" customWidth="1"/>
    <col min="6" max="6" width="13.109375" customWidth="1"/>
    <col min="7" max="7" width="14" customWidth="1"/>
    <col min="8" max="8" width="15" customWidth="1"/>
    <col min="9" max="9" width="15.6640625" customWidth="1"/>
    <col min="10" max="26" width="9.109375" customWidth="1"/>
  </cols>
  <sheetData>
    <row r="1" spans="1:26" ht="25.8">
      <c r="A1" s="9" t="s">
        <v>11</v>
      </c>
      <c r="B1" s="10" t="s">
        <v>12</v>
      </c>
      <c r="C1" s="11"/>
      <c r="D1" s="11"/>
      <c r="E1" s="11"/>
      <c r="F1" s="11"/>
      <c r="G1" s="11"/>
      <c r="H1" s="11"/>
      <c r="I1" s="11"/>
      <c r="J1" s="11"/>
      <c r="K1" s="11"/>
      <c r="L1" s="11"/>
      <c r="M1" s="11"/>
      <c r="N1" s="11"/>
      <c r="O1" s="11"/>
      <c r="P1" s="11"/>
      <c r="Q1" s="11"/>
      <c r="R1" s="11"/>
      <c r="S1" s="11"/>
      <c r="T1" s="11"/>
      <c r="U1" s="11"/>
      <c r="V1" s="11"/>
      <c r="W1" s="11"/>
      <c r="X1" s="11"/>
      <c r="Y1" s="11"/>
      <c r="Z1" s="11"/>
    </row>
    <row r="2" spans="1:26" ht="14.4">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39.75" customHeight="1">
      <c r="A3" s="12"/>
      <c r="B3" s="13" t="s">
        <v>13</v>
      </c>
      <c r="C3" s="11"/>
      <c r="D3" s="56" t="s">
        <v>14</v>
      </c>
      <c r="E3" s="57"/>
      <c r="F3" s="57"/>
      <c r="G3" s="57"/>
      <c r="H3" s="58"/>
      <c r="I3" s="11"/>
      <c r="J3" s="11"/>
      <c r="K3" s="11"/>
      <c r="L3" s="11"/>
      <c r="M3" s="11"/>
      <c r="N3" s="11"/>
      <c r="O3" s="11"/>
      <c r="P3" s="11"/>
      <c r="Q3" s="11"/>
      <c r="R3" s="11"/>
      <c r="S3" s="11"/>
      <c r="T3" s="11"/>
      <c r="U3" s="11"/>
      <c r="V3" s="11"/>
      <c r="W3" s="11"/>
      <c r="X3" s="11"/>
      <c r="Y3" s="11"/>
      <c r="Z3" s="11"/>
    </row>
    <row r="4" spans="1:26" ht="39.75" customHeight="1">
      <c r="A4" s="14" t="s">
        <v>15</v>
      </c>
      <c r="B4" s="15" t="s">
        <v>16</v>
      </c>
      <c r="C4" s="11"/>
      <c r="D4" s="59"/>
      <c r="E4" s="60"/>
      <c r="F4" s="60"/>
      <c r="G4" s="60"/>
      <c r="H4" s="61"/>
      <c r="I4" s="11"/>
      <c r="J4" s="11"/>
      <c r="K4" s="11"/>
      <c r="L4" s="11"/>
      <c r="M4" s="11"/>
      <c r="N4" s="11"/>
      <c r="O4" s="11"/>
      <c r="P4" s="11"/>
      <c r="Q4" s="11"/>
      <c r="R4" s="11"/>
      <c r="S4" s="11"/>
      <c r="T4" s="11"/>
      <c r="U4" s="11"/>
      <c r="V4" s="11"/>
      <c r="W4" s="11"/>
      <c r="X4" s="11"/>
      <c r="Y4" s="11"/>
      <c r="Z4" s="11"/>
    </row>
    <row r="5" spans="1:26" ht="39.75" customHeight="1">
      <c r="A5" s="16"/>
      <c r="B5" s="17" t="s">
        <v>17</v>
      </c>
      <c r="C5" s="11"/>
      <c r="D5" s="62"/>
      <c r="E5" s="63"/>
      <c r="F5" s="63"/>
      <c r="G5" s="63"/>
      <c r="H5" s="64"/>
      <c r="I5" s="11"/>
      <c r="J5" s="11"/>
      <c r="K5" s="11"/>
      <c r="L5" s="11"/>
      <c r="M5" s="11"/>
      <c r="N5" s="11"/>
      <c r="O5" s="11"/>
      <c r="P5" s="11"/>
      <c r="Q5" s="11"/>
      <c r="R5" s="11"/>
      <c r="S5" s="11"/>
      <c r="T5" s="11"/>
      <c r="U5" s="11"/>
      <c r="V5" s="11"/>
      <c r="W5" s="11"/>
      <c r="X5" s="11"/>
      <c r="Y5" s="11"/>
      <c r="Z5" s="11"/>
    </row>
    <row r="6" spans="1:26" ht="14.4">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ht="28.8">
      <c r="A7" s="11"/>
      <c r="B7" s="11"/>
      <c r="C7" s="18" t="s">
        <v>18</v>
      </c>
      <c r="D7" s="18" t="s">
        <v>19</v>
      </c>
      <c r="E7" s="18" t="s">
        <v>20</v>
      </c>
      <c r="F7" s="18" t="s">
        <v>21</v>
      </c>
      <c r="G7" s="18" t="s">
        <v>22</v>
      </c>
      <c r="H7" s="19" t="s">
        <v>23</v>
      </c>
      <c r="I7" s="11"/>
      <c r="J7" s="11"/>
      <c r="K7" s="11"/>
      <c r="L7" s="11"/>
      <c r="M7" s="11"/>
      <c r="N7" s="11"/>
      <c r="O7" s="11"/>
      <c r="P7" s="11"/>
      <c r="Q7" s="11"/>
      <c r="R7" s="11"/>
      <c r="S7" s="11"/>
      <c r="T7" s="11"/>
      <c r="U7" s="11"/>
      <c r="V7" s="11"/>
      <c r="W7" s="11"/>
      <c r="X7" s="11"/>
      <c r="Y7" s="11"/>
      <c r="Z7" s="11"/>
    </row>
    <row r="8" spans="1:26" ht="31.2">
      <c r="A8" s="20" t="s">
        <v>24</v>
      </c>
      <c r="B8" s="21" t="s">
        <v>25</v>
      </c>
      <c r="C8" s="65" t="s">
        <v>26</v>
      </c>
      <c r="D8" s="54"/>
      <c r="E8" s="54"/>
      <c r="F8" s="54"/>
      <c r="G8" s="55"/>
      <c r="H8" s="22">
        <f>SUM(C8:G8)</f>
        <v>0</v>
      </c>
      <c r="I8" s="11"/>
      <c r="J8" s="11"/>
      <c r="K8" s="11"/>
      <c r="L8" s="11"/>
      <c r="M8" s="11"/>
      <c r="N8" s="11"/>
      <c r="O8" s="11"/>
      <c r="P8" s="11"/>
      <c r="Q8" s="11"/>
      <c r="R8" s="11"/>
      <c r="S8" s="11"/>
      <c r="T8" s="11"/>
      <c r="U8" s="11"/>
      <c r="V8" s="11"/>
      <c r="W8" s="11"/>
      <c r="X8" s="11"/>
      <c r="Y8" s="11"/>
      <c r="Z8" s="11"/>
    </row>
    <row r="9" spans="1:26" ht="14.4">
      <c r="A9" s="11"/>
      <c r="B9" s="11"/>
      <c r="C9" s="23"/>
      <c r="D9" s="23"/>
      <c r="E9" s="23"/>
      <c r="F9" s="23"/>
      <c r="G9" s="23"/>
      <c r="H9" s="23"/>
      <c r="I9" s="11"/>
      <c r="J9" s="11"/>
      <c r="K9" s="11"/>
      <c r="L9" s="11"/>
      <c r="M9" s="11"/>
      <c r="N9" s="11"/>
      <c r="O9" s="11"/>
      <c r="P9" s="11"/>
      <c r="Q9" s="11"/>
      <c r="R9" s="11"/>
      <c r="S9" s="11"/>
      <c r="T9" s="11"/>
      <c r="U9" s="11"/>
      <c r="V9" s="11"/>
      <c r="W9" s="11"/>
      <c r="X9" s="11"/>
      <c r="Y9" s="11"/>
      <c r="Z9" s="11"/>
    </row>
    <row r="10" spans="1:26" ht="14.4">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15.6">
      <c r="A11" s="24"/>
      <c r="B11" s="66" t="s">
        <v>27</v>
      </c>
      <c r="C11" s="54"/>
      <c r="D11" s="54"/>
      <c r="E11" s="54"/>
      <c r="F11" s="54"/>
      <c r="G11" s="55"/>
      <c r="H11" s="11"/>
      <c r="I11" s="11"/>
      <c r="J11" s="11"/>
      <c r="K11" s="11"/>
      <c r="L11" s="25"/>
      <c r="M11" s="25"/>
      <c r="N11" s="25"/>
      <c r="O11" s="25"/>
      <c r="P11" s="25"/>
      <c r="Q11" s="25"/>
      <c r="R11" s="11"/>
      <c r="S11" s="11"/>
      <c r="T11" s="11"/>
      <c r="U11" s="11"/>
      <c r="V11" s="11"/>
      <c r="W11" s="11"/>
      <c r="X11" s="11"/>
      <c r="Y11" s="11"/>
      <c r="Z11" s="11"/>
    </row>
    <row r="12" spans="1:26" ht="14.4">
      <c r="A12" s="25"/>
      <c r="B12" s="26" t="s">
        <v>28</v>
      </c>
      <c r="C12" s="27">
        <v>2</v>
      </c>
      <c r="D12" s="27">
        <v>2</v>
      </c>
      <c r="E12" s="27">
        <v>2</v>
      </c>
      <c r="F12" s="27">
        <v>2</v>
      </c>
      <c r="G12" s="27">
        <v>2</v>
      </c>
      <c r="H12" s="11"/>
      <c r="I12" s="11"/>
      <c r="J12" s="11"/>
      <c r="K12" s="11"/>
      <c r="L12" s="25"/>
      <c r="R12" s="11"/>
      <c r="S12" s="11"/>
      <c r="T12" s="11"/>
      <c r="U12" s="11"/>
      <c r="V12" s="11"/>
      <c r="W12" s="11"/>
      <c r="X12" s="11"/>
      <c r="Y12" s="11"/>
      <c r="Z12" s="11"/>
    </row>
    <row r="13" spans="1:26" ht="14.4">
      <c r="A13" s="25"/>
      <c r="B13" s="26" t="s">
        <v>29</v>
      </c>
      <c r="C13" s="27">
        <v>3</v>
      </c>
      <c r="D13" s="27">
        <v>3</v>
      </c>
      <c r="E13" s="27">
        <v>3</v>
      </c>
      <c r="F13" s="27">
        <v>3</v>
      </c>
      <c r="G13" s="27">
        <v>3</v>
      </c>
      <c r="H13" s="11"/>
      <c r="I13" s="11"/>
      <c r="J13" s="11"/>
      <c r="K13" s="11"/>
      <c r="L13" s="25"/>
      <c r="R13" s="11"/>
      <c r="S13" s="11"/>
      <c r="T13" s="11"/>
      <c r="U13" s="11"/>
      <c r="V13" s="11"/>
      <c r="W13" s="11"/>
      <c r="X13" s="11"/>
      <c r="Y13" s="11"/>
      <c r="Z13" s="11"/>
    </row>
    <row r="14" spans="1:26" ht="14.4">
      <c r="A14" s="25"/>
      <c r="B14" s="26" t="s">
        <v>30</v>
      </c>
      <c r="C14" s="27">
        <v>3</v>
      </c>
      <c r="D14" s="27">
        <v>3</v>
      </c>
      <c r="E14" s="27">
        <v>3</v>
      </c>
      <c r="F14" s="27">
        <v>3</v>
      </c>
      <c r="G14" s="27">
        <v>3</v>
      </c>
      <c r="H14" s="11"/>
      <c r="I14" s="11"/>
      <c r="J14" s="11"/>
      <c r="K14" s="11"/>
      <c r="L14" s="25"/>
      <c r="R14" s="11"/>
      <c r="S14" s="11"/>
      <c r="T14" s="11"/>
      <c r="U14" s="11"/>
      <c r="V14" s="11"/>
      <c r="W14" s="11"/>
      <c r="X14" s="11"/>
      <c r="Y14" s="11"/>
      <c r="Z14" s="11"/>
    </row>
    <row r="15" spans="1:26" ht="14.4">
      <c r="A15" s="25"/>
      <c r="B15" s="26" t="s">
        <v>31</v>
      </c>
      <c r="C15" s="27">
        <v>0.94</v>
      </c>
      <c r="D15" s="27">
        <v>0.94</v>
      </c>
      <c r="E15" s="27">
        <v>0.94</v>
      </c>
      <c r="F15" s="27">
        <v>0.94</v>
      </c>
      <c r="G15" s="27">
        <v>0.94</v>
      </c>
      <c r="H15" s="11"/>
      <c r="I15" s="11"/>
      <c r="J15" s="11"/>
      <c r="K15" s="11"/>
      <c r="L15" s="25"/>
      <c r="R15" s="11"/>
      <c r="S15" s="11"/>
      <c r="T15" s="11"/>
      <c r="U15" s="11"/>
      <c r="V15" s="11"/>
      <c r="W15" s="11"/>
      <c r="X15" s="11"/>
      <c r="Y15" s="11"/>
      <c r="Z15" s="11"/>
    </row>
    <row r="16" spans="1:26" ht="14.4">
      <c r="A16" s="25"/>
      <c r="B16" s="26" t="s">
        <v>32</v>
      </c>
      <c r="C16" s="27">
        <v>0.8</v>
      </c>
      <c r="D16" s="27">
        <v>0.8</v>
      </c>
      <c r="E16" s="27">
        <v>0.8</v>
      </c>
      <c r="F16" s="27">
        <v>0.8</v>
      </c>
      <c r="G16" s="27">
        <v>0.8</v>
      </c>
      <c r="H16" s="11"/>
      <c r="I16" s="11"/>
      <c r="J16" s="11"/>
      <c r="K16" s="11"/>
      <c r="L16" s="25"/>
      <c r="R16" s="11"/>
      <c r="S16" s="11"/>
      <c r="T16" s="11"/>
      <c r="U16" s="11"/>
      <c r="V16" s="11"/>
      <c r="W16" s="11"/>
      <c r="X16" s="11"/>
      <c r="Y16" s="11"/>
      <c r="Z16" s="11"/>
    </row>
    <row r="17" spans="1:26" ht="14.4">
      <c r="A17" s="25"/>
      <c r="B17" s="26" t="s">
        <v>33</v>
      </c>
      <c r="C17" s="27">
        <v>1</v>
      </c>
      <c r="D17" s="27">
        <v>1</v>
      </c>
      <c r="E17" s="27">
        <v>1</v>
      </c>
      <c r="F17" s="27">
        <v>1</v>
      </c>
      <c r="G17" s="27">
        <v>1</v>
      </c>
      <c r="H17" s="11"/>
      <c r="I17" s="11"/>
      <c r="J17" s="11"/>
      <c r="K17" s="11"/>
      <c r="L17" s="25"/>
      <c r="R17" s="11"/>
      <c r="S17" s="11"/>
      <c r="T17" s="11"/>
      <c r="U17" s="11"/>
      <c r="V17" s="11"/>
      <c r="W17" s="11"/>
      <c r="X17" s="11"/>
      <c r="Y17" s="11"/>
      <c r="Z17" s="11"/>
    </row>
    <row r="18" spans="1:26" ht="14.4">
      <c r="A18" s="25"/>
      <c r="B18" s="26" t="s">
        <v>34</v>
      </c>
      <c r="C18" s="27">
        <v>1</v>
      </c>
      <c r="D18" s="27">
        <v>1</v>
      </c>
      <c r="E18" s="27">
        <v>1</v>
      </c>
      <c r="F18" s="27">
        <v>1</v>
      </c>
      <c r="G18" s="27">
        <v>1</v>
      </c>
      <c r="H18" s="11"/>
      <c r="I18" s="11"/>
      <c r="J18" s="11"/>
      <c r="K18" s="11"/>
      <c r="L18" s="25"/>
      <c r="R18" s="11"/>
      <c r="S18" s="11"/>
      <c r="T18" s="11"/>
      <c r="U18" s="11"/>
      <c r="V18" s="11"/>
      <c r="W18" s="11"/>
      <c r="X18" s="11"/>
      <c r="Y18" s="11"/>
      <c r="Z18" s="11"/>
    </row>
    <row r="19" spans="1:26" ht="14.4">
      <c r="A19" s="25"/>
      <c r="B19" s="26" t="s">
        <v>35</v>
      </c>
      <c r="C19" s="27">
        <v>1</v>
      </c>
      <c r="D19" s="27">
        <v>1</v>
      </c>
      <c r="E19" s="27">
        <v>1</v>
      </c>
      <c r="F19" s="27">
        <v>1</v>
      </c>
      <c r="G19" s="27">
        <v>1</v>
      </c>
      <c r="H19" s="11"/>
      <c r="I19" s="11"/>
      <c r="J19" s="11"/>
      <c r="K19" s="11"/>
      <c r="L19" s="25"/>
      <c r="R19" s="11"/>
      <c r="S19" s="11"/>
      <c r="T19" s="11"/>
      <c r="U19" s="11"/>
      <c r="V19" s="11"/>
      <c r="W19" s="11"/>
      <c r="X19" s="11"/>
      <c r="Y19" s="11"/>
      <c r="Z19" s="11"/>
    </row>
    <row r="20" spans="1:26" ht="14.4">
      <c r="A20" s="25"/>
      <c r="B20" s="26" t="s">
        <v>36</v>
      </c>
      <c r="C20" s="27">
        <v>0.5</v>
      </c>
      <c r="D20" s="27">
        <v>0.5</v>
      </c>
      <c r="E20" s="27">
        <v>0.5</v>
      </c>
      <c r="F20" s="27">
        <v>0.5</v>
      </c>
      <c r="G20" s="27">
        <v>0.5</v>
      </c>
      <c r="H20" s="11"/>
      <c r="I20" s="11"/>
      <c r="J20" s="11"/>
      <c r="K20" s="11"/>
      <c r="L20" s="25"/>
      <c r="R20" s="11"/>
      <c r="S20" s="11"/>
      <c r="T20" s="11"/>
      <c r="U20" s="11"/>
      <c r="V20" s="11"/>
      <c r="W20" s="11"/>
      <c r="X20" s="11"/>
      <c r="Y20" s="11"/>
      <c r="Z20" s="11"/>
    </row>
    <row r="21" spans="1:26" ht="15.75" customHeight="1">
      <c r="A21" s="25"/>
      <c r="B21" s="26" t="s">
        <v>37</v>
      </c>
      <c r="C21" s="28">
        <v>0.85333333300000003</v>
      </c>
      <c r="D21" s="27">
        <v>0.85</v>
      </c>
      <c r="E21" s="27">
        <v>0.85</v>
      </c>
      <c r="F21" s="27">
        <v>0.85</v>
      </c>
      <c r="G21" s="27">
        <v>0.85</v>
      </c>
      <c r="H21" s="11"/>
      <c r="I21" s="11"/>
      <c r="J21" s="11"/>
      <c r="K21" s="11"/>
      <c r="L21" s="25"/>
      <c r="R21" s="11"/>
      <c r="S21" s="11"/>
      <c r="T21" s="11"/>
      <c r="U21" s="11"/>
      <c r="V21" s="11"/>
      <c r="W21" s="11"/>
      <c r="X21" s="11"/>
      <c r="Y21" s="11"/>
      <c r="Z21" s="11"/>
    </row>
    <row r="22" spans="1:26" ht="15.75" customHeight="1">
      <c r="A22" s="25"/>
      <c r="B22" s="26" t="s">
        <v>38</v>
      </c>
      <c r="C22" s="27">
        <v>5.16</v>
      </c>
      <c r="D22" s="27">
        <v>5.16</v>
      </c>
      <c r="E22" s="27">
        <v>5.16</v>
      </c>
      <c r="F22" s="27">
        <v>5.16</v>
      </c>
      <c r="G22" s="27">
        <v>5.16</v>
      </c>
      <c r="H22" s="11"/>
      <c r="I22" s="11"/>
      <c r="J22" s="11"/>
      <c r="K22" s="11"/>
      <c r="L22" s="25"/>
      <c r="R22" s="11"/>
      <c r="S22" s="11"/>
      <c r="T22" s="11"/>
      <c r="U22" s="11"/>
      <c r="V22" s="11"/>
      <c r="W22" s="11"/>
      <c r="X22" s="11"/>
      <c r="Y22" s="11"/>
      <c r="Z22" s="11"/>
    </row>
    <row r="23" spans="1:26" ht="15.75" customHeight="1">
      <c r="A23" s="25"/>
      <c r="B23" s="26" t="s">
        <v>39</v>
      </c>
      <c r="C23" s="27">
        <v>4.2</v>
      </c>
      <c r="D23" s="27">
        <v>4.2</v>
      </c>
      <c r="E23" s="27">
        <v>4.2</v>
      </c>
      <c r="F23" s="27">
        <v>4.2</v>
      </c>
      <c r="G23" s="27">
        <v>4.2</v>
      </c>
      <c r="H23" s="11"/>
      <c r="I23" s="11"/>
      <c r="J23" s="11"/>
      <c r="K23" s="11"/>
      <c r="L23" s="25"/>
      <c r="R23" s="11"/>
      <c r="S23" s="11"/>
      <c r="T23" s="11"/>
      <c r="U23" s="11"/>
      <c r="V23" s="11"/>
      <c r="W23" s="11"/>
      <c r="X23" s="11"/>
      <c r="Y23" s="11"/>
      <c r="Z23" s="11"/>
    </row>
    <row r="24" spans="1:26" ht="15.75" customHeight="1">
      <c r="A24" s="25"/>
      <c r="B24" s="26" t="s">
        <v>40</v>
      </c>
      <c r="C24" s="27">
        <v>1</v>
      </c>
      <c r="D24" s="27">
        <v>1</v>
      </c>
      <c r="E24" s="27">
        <v>1</v>
      </c>
      <c r="F24" s="27">
        <v>1</v>
      </c>
      <c r="G24" s="27">
        <v>1</v>
      </c>
      <c r="H24" s="11"/>
      <c r="I24" s="11"/>
      <c r="J24" s="11"/>
      <c r="K24" s="11"/>
      <c r="L24" s="25"/>
      <c r="R24" s="11"/>
      <c r="S24" s="11"/>
      <c r="T24" s="11"/>
      <c r="U24" s="11"/>
      <c r="V24" s="11"/>
      <c r="W24" s="11"/>
      <c r="X24" s="11"/>
      <c r="Y24" s="11"/>
      <c r="Z24" s="11"/>
    </row>
    <row r="25" spans="1:26" ht="15.75" customHeight="1">
      <c r="A25" s="25"/>
      <c r="B25" s="26" t="s">
        <v>41</v>
      </c>
      <c r="C25" s="27">
        <v>0.5</v>
      </c>
      <c r="D25" s="27">
        <v>0.5</v>
      </c>
      <c r="E25" s="27">
        <v>0.5</v>
      </c>
      <c r="F25" s="27">
        <v>0.5</v>
      </c>
      <c r="G25" s="27">
        <v>0.5</v>
      </c>
      <c r="H25" s="11"/>
      <c r="I25" s="11"/>
      <c r="J25" s="11"/>
      <c r="K25" s="11"/>
      <c r="L25" s="25"/>
      <c r="R25" s="11"/>
      <c r="S25" s="11"/>
      <c r="T25" s="11"/>
      <c r="U25" s="11"/>
      <c r="V25" s="11"/>
      <c r="W25" s="11"/>
      <c r="X25" s="11"/>
      <c r="Y25" s="11"/>
      <c r="Z25" s="11"/>
    </row>
    <row r="26" spans="1:26" ht="15.75" customHeight="1">
      <c r="A26" s="25"/>
      <c r="B26" s="26" t="s">
        <v>42</v>
      </c>
      <c r="C26" s="27">
        <v>1</v>
      </c>
      <c r="D26" s="27">
        <v>1</v>
      </c>
      <c r="E26" s="27">
        <v>1</v>
      </c>
      <c r="F26" s="27">
        <v>1</v>
      </c>
      <c r="G26" s="27">
        <v>1</v>
      </c>
      <c r="H26" s="11"/>
      <c r="I26" s="11"/>
      <c r="J26" s="11"/>
      <c r="K26" s="11"/>
      <c r="L26" s="25"/>
      <c r="R26" s="11"/>
      <c r="S26" s="11"/>
      <c r="T26" s="11"/>
      <c r="U26" s="11"/>
      <c r="V26" s="11"/>
      <c r="W26" s="11"/>
      <c r="X26" s="11"/>
      <c r="Y26" s="11"/>
      <c r="Z26" s="11"/>
    </row>
    <row r="27" spans="1:26" ht="15.75" customHeight="1">
      <c r="A27" s="25"/>
      <c r="B27" s="26" t="s">
        <v>43</v>
      </c>
      <c r="C27" s="27">
        <v>1</v>
      </c>
      <c r="D27" s="27">
        <v>1</v>
      </c>
      <c r="E27" s="27">
        <v>1</v>
      </c>
      <c r="F27" s="27">
        <v>1</v>
      </c>
      <c r="G27" s="27">
        <v>1</v>
      </c>
      <c r="H27" s="11"/>
      <c r="I27" s="11"/>
      <c r="J27" s="11"/>
      <c r="K27" s="11"/>
      <c r="L27" s="25"/>
      <c r="R27" s="11"/>
      <c r="S27" s="11"/>
      <c r="T27" s="11"/>
      <c r="U27" s="11"/>
      <c r="V27" s="11"/>
      <c r="W27" s="11"/>
      <c r="X27" s="11"/>
      <c r="Y27" s="11"/>
      <c r="Z27" s="11"/>
    </row>
    <row r="28" spans="1:26" ht="15.75" customHeight="1">
      <c r="A28" s="25"/>
      <c r="B28" s="26" t="s">
        <v>44</v>
      </c>
      <c r="C28" s="27">
        <v>0.7</v>
      </c>
      <c r="D28" s="27">
        <v>0.7</v>
      </c>
      <c r="E28" s="27">
        <v>0.7</v>
      </c>
      <c r="F28" s="27">
        <v>0.7</v>
      </c>
      <c r="G28" s="27">
        <v>0.7</v>
      </c>
      <c r="H28" s="11"/>
      <c r="I28" s="11"/>
      <c r="J28" s="11"/>
      <c r="K28" s="11"/>
      <c r="L28" s="25"/>
      <c r="R28" s="11"/>
      <c r="S28" s="11"/>
      <c r="T28" s="11"/>
      <c r="U28" s="11"/>
      <c r="V28" s="11"/>
      <c r="W28" s="11"/>
      <c r="X28" s="11"/>
      <c r="Y28" s="11"/>
      <c r="Z28" s="11"/>
    </row>
    <row r="29" spans="1:26" ht="15.75" customHeight="1">
      <c r="A29" s="11"/>
      <c r="B29" s="26" t="s">
        <v>45</v>
      </c>
      <c r="C29" s="27"/>
      <c r="D29" s="27"/>
      <c r="E29" s="27"/>
      <c r="F29" s="27"/>
      <c r="G29" s="27"/>
      <c r="H29" s="11"/>
      <c r="I29" s="11"/>
      <c r="J29" s="11"/>
      <c r="K29" s="11"/>
      <c r="L29" s="11"/>
      <c r="M29" s="11"/>
      <c r="N29" s="11"/>
      <c r="O29" s="11"/>
      <c r="P29" s="11"/>
      <c r="Q29" s="11"/>
      <c r="R29" s="11"/>
      <c r="S29" s="11"/>
      <c r="T29" s="11"/>
      <c r="U29" s="11"/>
      <c r="V29" s="11"/>
      <c r="W29" s="11"/>
      <c r="X29" s="11"/>
      <c r="Y29" s="11"/>
      <c r="Z29" s="11"/>
    </row>
    <row r="30" spans="1:26" ht="15.75" customHeight="1">
      <c r="A30" s="11"/>
      <c r="B30" s="26" t="s">
        <v>45</v>
      </c>
      <c r="C30" s="27"/>
      <c r="D30" s="27"/>
      <c r="E30" s="27"/>
      <c r="F30" s="27"/>
      <c r="G30" s="27"/>
      <c r="H30" s="11"/>
      <c r="I30" s="11"/>
      <c r="J30" s="11"/>
      <c r="K30" s="11"/>
      <c r="L30" s="11"/>
      <c r="M30" s="11"/>
      <c r="N30" s="11"/>
      <c r="O30" s="11"/>
      <c r="P30" s="11"/>
      <c r="Q30" s="11"/>
      <c r="R30" s="11"/>
      <c r="S30" s="11"/>
      <c r="T30" s="11"/>
      <c r="U30" s="11"/>
      <c r="V30" s="11"/>
      <c r="W30" s="11"/>
      <c r="X30" s="11"/>
      <c r="Y30" s="11"/>
      <c r="Z30" s="11"/>
    </row>
    <row r="31" spans="1:26" ht="15.75" customHeight="1">
      <c r="A31" s="11"/>
      <c r="B31" s="26" t="s">
        <v>45</v>
      </c>
      <c r="C31" s="27"/>
      <c r="D31" s="27"/>
      <c r="E31" s="27"/>
      <c r="F31" s="27"/>
      <c r="G31" s="27"/>
      <c r="H31" s="11"/>
      <c r="I31" s="11"/>
      <c r="J31" s="11"/>
      <c r="K31" s="11"/>
      <c r="L31" s="11"/>
      <c r="M31" s="11"/>
      <c r="N31" s="11"/>
      <c r="O31" s="11"/>
      <c r="P31" s="11"/>
      <c r="Q31" s="11"/>
      <c r="R31" s="11"/>
      <c r="S31" s="11"/>
      <c r="T31" s="11"/>
      <c r="U31" s="11"/>
      <c r="V31" s="11"/>
      <c r="W31" s="11"/>
      <c r="X31" s="11"/>
      <c r="Y31" s="11"/>
      <c r="Z31" s="11"/>
    </row>
    <row r="32" spans="1:26" ht="15.75" customHeight="1">
      <c r="A32" s="11"/>
      <c r="B32" s="26" t="s">
        <v>45</v>
      </c>
      <c r="C32" s="27"/>
      <c r="D32" s="27"/>
      <c r="E32" s="27"/>
      <c r="F32" s="27"/>
      <c r="G32" s="27"/>
      <c r="H32" s="11"/>
      <c r="I32" s="11"/>
      <c r="J32" s="11"/>
      <c r="K32" s="11"/>
      <c r="L32" s="11"/>
      <c r="M32" s="11"/>
      <c r="N32" s="11"/>
      <c r="O32" s="11"/>
      <c r="P32" s="11"/>
      <c r="Q32" s="11"/>
      <c r="R32" s="11"/>
      <c r="S32" s="11"/>
      <c r="T32" s="11"/>
      <c r="U32" s="11"/>
      <c r="V32" s="11"/>
      <c r="W32" s="11"/>
      <c r="X32" s="11"/>
      <c r="Y32" s="11"/>
      <c r="Z32" s="11"/>
    </row>
    <row r="33" spans="1:26"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15.75" customHeight="1">
      <c r="A34" s="24" t="s">
        <v>46</v>
      </c>
      <c r="B34" s="29" t="s">
        <v>47</v>
      </c>
      <c r="C34" s="19" t="s">
        <v>18</v>
      </c>
      <c r="D34" s="19" t="s">
        <v>19</v>
      </c>
      <c r="E34" s="19" t="s">
        <v>20</v>
      </c>
      <c r="F34" s="19" t="s">
        <v>21</v>
      </c>
      <c r="G34" s="19" t="s">
        <v>22</v>
      </c>
      <c r="H34" s="19" t="s">
        <v>23</v>
      </c>
      <c r="I34" s="11"/>
      <c r="J34" s="11"/>
      <c r="K34" s="11"/>
      <c r="L34" s="11"/>
      <c r="M34" s="11"/>
      <c r="N34" s="11"/>
      <c r="O34" s="11"/>
      <c r="P34" s="11"/>
      <c r="Q34" s="11"/>
      <c r="R34" s="11"/>
      <c r="S34" s="11"/>
      <c r="T34" s="11"/>
      <c r="U34" s="11"/>
      <c r="V34" s="11"/>
      <c r="W34" s="11"/>
      <c r="X34" s="11"/>
      <c r="Y34" s="11"/>
      <c r="Z34" s="11"/>
    </row>
    <row r="35" spans="1:26" ht="15.75" customHeight="1">
      <c r="A35" s="11"/>
      <c r="B35" s="30" t="str">
        <f t="shared" ref="B35:B55" si="0">B12</f>
        <v>GP Partner — Medical (non‑AfC)</v>
      </c>
      <c r="C35" s="31">
        <v>50000</v>
      </c>
      <c r="D35" s="31">
        <v>50000</v>
      </c>
      <c r="E35" s="31">
        <v>50000</v>
      </c>
      <c r="F35" s="31">
        <v>50000</v>
      </c>
      <c r="G35" s="31">
        <v>50000</v>
      </c>
      <c r="H35" s="32">
        <f t="shared" ref="H35:H55" si="1">SUM(C35:G35)</f>
        <v>250000</v>
      </c>
      <c r="I35" s="11"/>
      <c r="J35" s="11"/>
      <c r="K35" s="11"/>
      <c r="L35" s="11"/>
      <c r="M35" s="11"/>
      <c r="N35" s="11"/>
      <c r="O35" s="11"/>
      <c r="P35" s="11"/>
      <c r="Q35" s="11"/>
      <c r="R35" s="11"/>
      <c r="S35" s="11"/>
      <c r="T35" s="11"/>
      <c r="U35" s="11"/>
      <c r="V35" s="11"/>
      <c r="W35" s="11"/>
      <c r="X35" s="11"/>
      <c r="Y35" s="11"/>
      <c r="Z35" s="11"/>
    </row>
    <row r="36" spans="1:26" ht="15.75" customHeight="1">
      <c r="A36" s="11"/>
      <c r="B36" s="30" t="str">
        <f t="shared" si="0"/>
        <v>Salaried GP — Medical (non‑AfC)</v>
      </c>
      <c r="C36" s="31">
        <v>340859.31111456821</v>
      </c>
      <c r="D36" s="31">
        <v>347676.49733685958</v>
      </c>
      <c r="E36" s="31">
        <v>354630.02728359681</v>
      </c>
      <c r="F36" s="31">
        <v>361722.62782926875</v>
      </c>
      <c r="G36" s="31">
        <v>368957.08038585412</v>
      </c>
      <c r="H36" s="32">
        <f t="shared" si="1"/>
        <v>1773845.5439501475</v>
      </c>
      <c r="I36" s="33"/>
      <c r="J36" s="11"/>
      <c r="K36" s="11"/>
      <c r="L36" s="11"/>
      <c r="M36" s="11"/>
      <c r="N36" s="11"/>
      <c r="O36" s="11"/>
      <c r="P36" s="11"/>
      <c r="Q36" s="11"/>
      <c r="R36" s="11"/>
      <c r="S36" s="11"/>
      <c r="T36" s="11"/>
      <c r="U36" s="11"/>
      <c r="V36" s="11"/>
      <c r="W36" s="11"/>
      <c r="X36" s="11"/>
      <c r="Y36" s="11"/>
      <c r="Z36" s="11"/>
    </row>
    <row r="37" spans="1:26" ht="15.75" customHeight="1">
      <c r="A37" s="11"/>
      <c r="B37" s="30" t="str">
        <f t="shared" si="0"/>
        <v>Practice Nurse — AfC Band 6</v>
      </c>
      <c r="C37" s="31">
        <v>130000</v>
      </c>
      <c r="D37" s="31">
        <v>132600</v>
      </c>
      <c r="E37" s="31">
        <v>135252</v>
      </c>
      <c r="F37" s="31">
        <v>137957.04</v>
      </c>
      <c r="G37" s="31">
        <v>140716.1808</v>
      </c>
      <c r="H37" s="32">
        <f t="shared" si="1"/>
        <v>676525.22080000001</v>
      </c>
      <c r="I37" s="33"/>
      <c r="J37" s="11"/>
      <c r="K37" s="11"/>
      <c r="L37" s="11"/>
      <c r="M37" s="11"/>
      <c r="N37" s="11"/>
      <c r="O37" s="11"/>
      <c r="P37" s="11"/>
      <c r="Q37" s="11"/>
      <c r="R37" s="11"/>
      <c r="S37" s="11"/>
      <c r="T37" s="11"/>
      <c r="U37" s="11"/>
      <c r="V37" s="11"/>
      <c r="W37" s="11"/>
      <c r="X37" s="11"/>
      <c r="Y37" s="11"/>
      <c r="Z37" s="11"/>
    </row>
    <row r="38" spans="1:26" ht="15.75" customHeight="1">
      <c r="A38" s="11"/>
      <c r="B38" s="30" t="str">
        <f t="shared" si="0"/>
        <v>Healthcare Assistant — AfC Band 3</v>
      </c>
      <c r="C38" s="31">
        <v>31699.679599788498</v>
      </c>
      <c r="D38" s="31">
        <v>32333.67319178427</v>
      </c>
      <c r="E38" s="31">
        <v>32980.346655619956</v>
      </c>
      <c r="F38" s="31">
        <v>33639.953588732358</v>
      </c>
      <c r="G38" s="31">
        <v>34312.752660507009</v>
      </c>
      <c r="H38" s="32">
        <f t="shared" si="1"/>
        <v>164966.40569643208</v>
      </c>
      <c r="I38" s="33"/>
      <c r="J38" s="11"/>
      <c r="K38" s="11"/>
      <c r="L38" s="11"/>
      <c r="M38" s="11"/>
      <c r="N38" s="11"/>
      <c r="O38" s="11"/>
      <c r="P38" s="11"/>
      <c r="Q38" s="11"/>
      <c r="R38" s="11"/>
      <c r="S38" s="11"/>
      <c r="T38" s="11"/>
      <c r="U38" s="11"/>
      <c r="V38" s="11"/>
      <c r="W38" s="11"/>
      <c r="X38" s="11"/>
      <c r="Y38" s="11"/>
      <c r="Z38" s="11"/>
    </row>
    <row r="39" spans="1:26" ht="15.75" customHeight="1">
      <c r="A39" s="11"/>
      <c r="B39" s="30" t="str">
        <f t="shared" si="0"/>
        <v>Advanced Nurse Practitioner — AfC Band 8a</v>
      </c>
      <c r="C39" s="31">
        <v>62231.912000000004</v>
      </c>
      <c r="D39" s="31">
        <v>63476.550240000004</v>
      </c>
      <c r="E39" s="31">
        <v>64746.081244800007</v>
      </c>
      <c r="F39" s="31">
        <v>66041.002869696007</v>
      </c>
      <c r="G39" s="31">
        <v>67361.822927089932</v>
      </c>
      <c r="H39" s="32">
        <f t="shared" si="1"/>
        <v>323857.36928158597</v>
      </c>
      <c r="I39" s="33"/>
      <c r="J39" s="11"/>
      <c r="K39" s="11"/>
      <c r="L39" s="11"/>
      <c r="M39" s="11"/>
      <c r="N39" s="11"/>
      <c r="O39" s="11"/>
      <c r="P39" s="11"/>
      <c r="Q39" s="11"/>
      <c r="R39" s="11"/>
      <c r="S39" s="11"/>
      <c r="T39" s="11"/>
      <c r="U39" s="11"/>
      <c r="V39" s="11"/>
      <c r="W39" s="11"/>
      <c r="X39" s="11"/>
      <c r="Y39" s="11"/>
      <c r="Z39" s="11"/>
    </row>
    <row r="40" spans="1:26" ht="15.75" customHeight="1">
      <c r="A40" s="11"/>
      <c r="B40" s="30" t="str">
        <f t="shared" si="0"/>
        <v>Phlebotomist — AfC Band 2</v>
      </c>
      <c r="C40" s="31">
        <v>31265.97653807345</v>
      </c>
      <c r="D40" s="31">
        <v>31891.296068834919</v>
      </c>
      <c r="E40" s="31">
        <v>32529.121990211617</v>
      </c>
      <c r="F40" s="31">
        <v>33179.704430015852</v>
      </c>
      <c r="G40" s="31">
        <v>33843.298518616168</v>
      </c>
      <c r="H40" s="32">
        <f t="shared" si="1"/>
        <v>162709.397545752</v>
      </c>
      <c r="I40" s="33"/>
      <c r="J40" s="11"/>
      <c r="K40" s="11"/>
      <c r="L40" s="11"/>
      <c r="M40" s="11"/>
      <c r="N40" s="11"/>
      <c r="O40" s="11"/>
      <c r="P40" s="11"/>
      <c r="Q40" s="11"/>
      <c r="R40" s="11"/>
      <c r="S40" s="11"/>
      <c r="T40" s="11"/>
      <c r="U40" s="11"/>
      <c r="V40" s="11"/>
      <c r="W40" s="11"/>
      <c r="X40" s="11"/>
      <c r="Y40" s="11"/>
      <c r="Z40" s="11"/>
    </row>
    <row r="41" spans="1:26" ht="15.75" customHeight="1">
      <c r="A41" s="11"/>
      <c r="B41" s="30" t="str">
        <f t="shared" si="0"/>
        <v>Clinical Pharmacist — AfC Band 7 (ARRS)</v>
      </c>
      <c r="C41" s="31">
        <v>0</v>
      </c>
      <c r="D41" s="31">
        <v>0</v>
      </c>
      <c r="E41" s="31">
        <v>0</v>
      </c>
      <c r="F41" s="31">
        <v>0</v>
      </c>
      <c r="G41" s="31">
        <v>0</v>
      </c>
      <c r="H41" s="32">
        <f t="shared" si="1"/>
        <v>0</v>
      </c>
      <c r="I41" s="33"/>
      <c r="J41" s="11"/>
      <c r="K41" s="11"/>
      <c r="L41" s="11"/>
      <c r="M41" s="11"/>
      <c r="N41" s="11"/>
      <c r="O41" s="11"/>
      <c r="P41" s="11"/>
      <c r="Q41" s="11"/>
      <c r="R41" s="11"/>
      <c r="S41" s="11"/>
      <c r="T41" s="11"/>
      <c r="U41" s="11"/>
      <c r="V41" s="11"/>
      <c r="W41" s="11"/>
      <c r="X41" s="11"/>
      <c r="Y41" s="11"/>
      <c r="Z41" s="11"/>
    </row>
    <row r="42" spans="1:26" ht="15.75" customHeight="1">
      <c r="A42" s="11"/>
      <c r="B42" s="30" t="str">
        <f t="shared" si="0"/>
        <v>Mental Health Counsellor — AfC Band 6</v>
      </c>
      <c r="C42" s="31">
        <v>44000</v>
      </c>
      <c r="D42" s="31">
        <v>44880</v>
      </c>
      <c r="E42" s="31">
        <v>45777.599999999999</v>
      </c>
      <c r="F42" s="31">
        <v>46693.152000000002</v>
      </c>
      <c r="G42" s="31">
        <v>47627.015040000006</v>
      </c>
      <c r="H42" s="32">
        <f t="shared" si="1"/>
        <v>228977.76704000001</v>
      </c>
      <c r="I42" s="33"/>
      <c r="J42" s="11"/>
      <c r="K42" s="11"/>
      <c r="L42" s="11"/>
      <c r="M42" s="11"/>
      <c r="N42" s="11"/>
      <c r="O42" s="11"/>
      <c r="P42" s="11"/>
      <c r="Q42" s="11"/>
      <c r="R42" s="11"/>
      <c r="S42" s="11"/>
      <c r="T42" s="11"/>
      <c r="U42" s="11"/>
      <c r="V42" s="11"/>
      <c r="W42" s="11"/>
      <c r="X42" s="11"/>
      <c r="Y42" s="11"/>
      <c r="Z42" s="11"/>
    </row>
    <row r="43" spans="1:26" ht="15.75" customHeight="1">
      <c r="A43" s="11"/>
      <c r="B43" s="30" t="str">
        <f t="shared" si="0"/>
        <v>Dietician — AfC Band 5</v>
      </c>
      <c r="C43" s="31">
        <v>17280</v>
      </c>
      <c r="D43" s="31">
        <v>17625.599999999999</v>
      </c>
      <c r="E43" s="31">
        <v>17978.111999999997</v>
      </c>
      <c r="F43" s="31">
        <v>18337.674239999997</v>
      </c>
      <c r="G43" s="31">
        <v>18704.427724799996</v>
      </c>
      <c r="H43" s="32">
        <f t="shared" si="1"/>
        <v>89925.813964799992</v>
      </c>
      <c r="I43" s="33"/>
      <c r="J43" s="11"/>
      <c r="K43" s="11"/>
      <c r="L43" s="11"/>
      <c r="M43" s="11"/>
      <c r="N43" s="11"/>
      <c r="O43" s="11"/>
      <c r="P43" s="11"/>
      <c r="Q43" s="11"/>
      <c r="R43" s="11"/>
      <c r="S43" s="11"/>
      <c r="T43" s="11"/>
      <c r="U43" s="11"/>
      <c r="V43" s="11"/>
      <c r="W43" s="11"/>
      <c r="X43" s="11"/>
      <c r="Y43" s="11"/>
      <c r="Z43" s="11"/>
    </row>
    <row r="44" spans="1:26" ht="15.75" customHeight="1">
      <c r="A44" s="11"/>
      <c r="B44" s="30" t="str">
        <f t="shared" si="0"/>
        <v>Practice Manager — (non‑AfC; ~AfC 8a)</v>
      </c>
      <c r="C44" s="31">
        <v>45492.33</v>
      </c>
      <c r="D44" s="31">
        <v>46402.176600000006</v>
      </c>
      <c r="E44" s="31">
        <v>47330.220132000009</v>
      </c>
      <c r="F44" s="31">
        <v>48276.824534640007</v>
      </c>
      <c r="G44" s="31">
        <v>49242.361025332808</v>
      </c>
      <c r="H44" s="32">
        <f t="shared" si="1"/>
        <v>236743.91229197284</v>
      </c>
      <c r="I44" s="33"/>
      <c r="J44" s="11"/>
      <c r="K44" s="11"/>
      <c r="L44" s="11"/>
      <c r="M44" s="11"/>
      <c r="N44" s="11"/>
      <c r="O44" s="11"/>
      <c r="P44" s="11"/>
      <c r="Q44" s="11"/>
      <c r="R44" s="11"/>
      <c r="S44" s="11"/>
      <c r="T44" s="11"/>
      <c r="U44" s="11"/>
      <c r="V44" s="11"/>
      <c r="W44" s="11"/>
      <c r="X44" s="11"/>
      <c r="Y44" s="11"/>
      <c r="Z44" s="11"/>
    </row>
    <row r="45" spans="1:26" ht="15.75" customHeight="1">
      <c r="A45" s="11"/>
      <c r="B45" s="30" t="str">
        <f t="shared" si="0"/>
        <v>Admin  — AfC Band 3 (includes 1 ARRS WTE)</v>
      </c>
      <c r="C45" s="31">
        <v>129835.72837209301</v>
      </c>
      <c r="D45" s="31">
        <v>132432.44293953487</v>
      </c>
      <c r="E45" s="31">
        <v>135081.09179832556</v>
      </c>
      <c r="F45" s="31">
        <v>137782.71363429207</v>
      </c>
      <c r="G45" s="31">
        <v>140538.36790697792</v>
      </c>
      <c r="H45" s="32">
        <f t="shared" si="1"/>
        <v>675670.34465122339</v>
      </c>
      <c r="I45" s="33"/>
      <c r="J45" s="11"/>
      <c r="K45" s="11"/>
      <c r="L45" s="11"/>
      <c r="M45" s="11"/>
      <c r="N45" s="11"/>
      <c r="O45" s="11"/>
      <c r="P45" s="11"/>
      <c r="Q45" s="11"/>
      <c r="R45" s="11"/>
      <c r="S45" s="11"/>
      <c r="T45" s="11"/>
      <c r="U45" s="11"/>
      <c r="V45" s="11"/>
      <c r="W45" s="11"/>
      <c r="X45" s="11"/>
      <c r="Y45" s="11"/>
      <c r="Z45" s="11"/>
    </row>
    <row r="46" spans="1:26" ht="15.75" customHeight="1">
      <c r="A46" s="11"/>
      <c r="B46" s="30" t="str">
        <f t="shared" si="0"/>
        <v>Reception/Patient Services — AfC Band 3</v>
      </c>
      <c r="C46" s="31">
        <v>137861.38999999998</v>
      </c>
      <c r="D46" s="31">
        <v>140618.61779999998</v>
      </c>
      <c r="E46" s="31">
        <v>143430.99015599999</v>
      </c>
      <c r="F46" s="31">
        <v>146299.60995911999</v>
      </c>
      <c r="G46" s="31">
        <v>149225.60215830238</v>
      </c>
      <c r="H46" s="32">
        <f t="shared" si="1"/>
        <v>717436.21007342241</v>
      </c>
      <c r="I46" s="33"/>
      <c r="J46" s="11"/>
      <c r="K46" s="11"/>
      <c r="L46" s="11"/>
      <c r="M46" s="11"/>
      <c r="N46" s="11"/>
      <c r="O46" s="11"/>
      <c r="P46" s="11"/>
      <c r="Q46" s="11"/>
      <c r="R46" s="11"/>
      <c r="S46" s="11"/>
      <c r="T46" s="11"/>
      <c r="U46" s="11"/>
      <c r="V46" s="11"/>
      <c r="W46" s="11"/>
      <c r="X46" s="11"/>
      <c r="Y46" s="11"/>
      <c r="Z46" s="11"/>
    </row>
    <row r="47" spans="1:26" ht="15.75" customHeight="1">
      <c r="A47" s="11"/>
      <c r="B47" s="30" t="str">
        <f t="shared" si="0"/>
        <v>Medical Secretary/PA — AfC Band 4</v>
      </c>
      <c r="C47" s="31">
        <v>19500</v>
      </c>
      <c r="D47" s="31">
        <v>19890</v>
      </c>
      <c r="E47" s="31">
        <v>20287.8</v>
      </c>
      <c r="F47" s="31">
        <v>20693.556</v>
      </c>
      <c r="G47" s="31">
        <v>21107.42712</v>
      </c>
      <c r="H47" s="32">
        <f t="shared" si="1"/>
        <v>101478.78312000001</v>
      </c>
      <c r="I47" s="33"/>
      <c r="J47" s="11"/>
      <c r="K47" s="11"/>
      <c r="L47" s="11"/>
      <c r="M47" s="11"/>
      <c r="N47" s="11"/>
      <c r="O47" s="11"/>
      <c r="P47" s="11"/>
      <c r="Q47" s="11"/>
      <c r="R47" s="11"/>
      <c r="S47" s="11"/>
      <c r="T47" s="11"/>
      <c r="U47" s="11"/>
      <c r="V47" s="11"/>
      <c r="W47" s="11"/>
      <c r="X47" s="11"/>
      <c r="Y47" s="11"/>
      <c r="Z47" s="11"/>
    </row>
    <row r="48" spans="1:26" ht="15.75" customHeight="1">
      <c r="A48" s="11"/>
      <c r="B48" s="30" t="str">
        <f t="shared" si="0"/>
        <v>Care Co‑ordinator  — AfC Band 4</v>
      </c>
      <c r="C48" s="31">
        <v>10000</v>
      </c>
      <c r="D48" s="31">
        <v>10200</v>
      </c>
      <c r="E48" s="31">
        <v>10404</v>
      </c>
      <c r="F48" s="31">
        <v>10612.08</v>
      </c>
      <c r="G48" s="31">
        <v>10824.321599999999</v>
      </c>
      <c r="H48" s="32">
        <f t="shared" si="1"/>
        <v>52040.401599999997</v>
      </c>
      <c r="I48" s="33"/>
      <c r="J48" s="11"/>
      <c r="K48" s="11"/>
      <c r="L48" s="11"/>
      <c r="M48" s="11"/>
      <c r="N48" s="11"/>
      <c r="O48" s="11"/>
      <c r="P48" s="11"/>
      <c r="Q48" s="11"/>
      <c r="R48" s="11"/>
      <c r="S48" s="11"/>
      <c r="T48" s="11"/>
      <c r="U48" s="11"/>
      <c r="V48" s="11"/>
      <c r="W48" s="11"/>
      <c r="X48" s="11"/>
      <c r="Y48" s="11"/>
      <c r="Z48" s="11"/>
    </row>
    <row r="49" spans="1:26" ht="15.75" customHeight="1">
      <c r="A49" s="11"/>
      <c r="B49" s="30" t="str">
        <f t="shared" si="0"/>
        <v>Pharmacy Technician — AfC Band 5</v>
      </c>
      <c r="C49" s="31">
        <v>39152.410000000003</v>
      </c>
      <c r="D49" s="31">
        <v>39935.458200000001</v>
      </c>
      <c r="E49" s="31">
        <v>40734.167364000001</v>
      </c>
      <c r="F49" s="31">
        <v>41548.85071128</v>
      </c>
      <c r="G49" s="31">
        <v>42379.827725505602</v>
      </c>
      <c r="H49" s="32">
        <f t="shared" si="1"/>
        <v>203750.71400078558</v>
      </c>
      <c r="I49" s="33"/>
      <c r="J49" s="11"/>
      <c r="K49" s="11"/>
      <c r="L49" s="11"/>
      <c r="M49" s="11"/>
      <c r="N49" s="11"/>
      <c r="O49" s="11"/>
      <c r="P49" s="11"/>
      <c r="Q49" s="11"/>
      <c r="R49" s="11"/>
      <c r="S49" s="11"/>
      <c r="T49" s="11"/>
      <c r="U49" s="11"/>
      <c r="V49" s="11"/>
      <c r="W49" s="11"/>
      <c r="X49" s="11"/>
      <c r="Y49" s="11"/>
      <c r="Z49" s="11"/>
    </row>
    <row r="50" spans="1:26" ht="15.75" customHeight="1">
      <c r="A50" s="11"/>
      <c r="B50" s="30" t="str">
        <f t="shared" si="0"/>
        <v>Paramedic — AfC Band 7</v>
      </c>
      <c r="C50" s="31">
        <v>30000</v>
      </c>
      <c r="D50" s="31">
        <v>30600</v>
      </c>
      <c r="E50" s="31">
        <v>31212</v>
      </c>
      <c r="F50" s="31">
        <v>31836.240000000002</v>
      </c>
      <c r="G50" s="31">
        <v>32472.964800000002</v>
      </c>
      <c r="H50" s="32">
        <f t="shared" si="1"/>
        <v>156121.20480000001</v>
      </c>
      <c r="I50" s="33"/>
      <c r="J50" s="11"/>
      <c r="K50" s="11"/>
      <c r="L50" s="11"/>
      <c r="M50" s="11"/>
      <c r="N50" s="11"/>
      <c r="O50" s="11"/>
      <c r="P50" s="11"/>
      <c r="Q50" s="11"/>
      <c r="R50" s="11"/>
      <c r="S50" s="11"/>
      <c r="T50" s="11"/>
      <c r="U50" s="11"/>
      <c r="V50" s="11"/>
      <c r="W50" s="11"/>
      <c r="X50" s="11"/>
      <c r="Y50" s="11"/>
      <c r="Z50" s="11"/>
    </row>
    <row r="51" spans="1:26" ht="15.75" customHeight="1">
      <c r="A51" s="11"/>
      <c r="B51" s="30" t="str">
        <f t="shared" si="0"/>
        <v>Physiotherapist - AfC Band 5</v>
      </c>
      <c r="C51" s="31">
        <v>27000</v>
      </c>
      <c r="D51" s="31">
        <v>27540</v>
      </c>
      <c r="E51" s="31">
        <v>28090.799999999999</v>
      </c>
      <c r="F51" s="31">
        <v>28652.615999999998</v>
      </c>
      <c r="G51" s="31">
        <v>29225.668319999997</v>
      </c>
      <c r="H51" s="32">
        <f t="shared" si="1"/>
        <v>140509.08431999999</v>
      </c>
      <c r="I51" s="33"/>
      <c r="J51" s="11"/>
      <c r="K51" s="11"/>
      <c r="L51" s="11"/>
      <c r="M51" s="11"/>
      <c r="N51" s="11"/>
      <c r="O51" s="11"/>
      <c r="P51" s="11"/>
      <c r="Q51" s="11"/>
      <c r="R51" s="11"/>
      <c r="S51" s="11"/>
      <c r="T51" s="11"/>
      <c r="U51" s="11"/>
      <c r="V51" s="11"/>
      <c r="W51" s="11"/>
      <c r="X51" s="11"/>
      <c r="Y51" s="11"/>
      <c r="Z51" s="11"/>
    </row>
    <row r="52" spans="1:26" ht="15.75" customHeight="1">
      <c r="A52" s="11"/>
      <c r="B52" s="30" t="str">
        <f t="shared" si="0"/>
        <v>[Profession/Role/Grade]</v>
      </c>
      <c r="C52" s="31"/>
      <c r="D52" s="31"/>
      <c r="E52" s="31"/>
      <c r="F52" s="31"/>
      <c r="G52" s="31"/>
      <c r="H52" s="32">
        <f t="shared" si="1"/>
        <v>0</v>
      </c>
      <c r="I52" s="11"/>
      <c r="J52" s="11"/>
      <c r="K52" s="11"/>
      <c r="L52" s="11"/>
      <c r="M52" s="11"/>
      <c r="N52" s="11"/>
      <c r="O52" s="11"/>
      <c r="P52" s="11"/>
      <c r="Q52" s="11"/>
      <c r="R52" s="11"/>
      <c r="S52" s="11"/>
      <c r="T52" s="11"/>
      <c r="U52" s="11"/>
      <c r="V52" s="11"/>
      <c r="W52" s="11"/>
      <c r="X52" s="11"/>
      <c r="Y52" s="11"/>
      <c r="Z52" s="11"/>
    </row>
    <row r="53" spans="1:26" ht="15.75" customHeight="1">
      <c r="A53" s="11"/>
      <c r="B53" s="30" t="str">
        <f t="shared" si="0"/>
        <v>[Profession/Role/Grade]</v>
      </c>
      <c r="C53" s="31"/>
      <c r="D53" s="31"/>
      <c r="E53" s="31"/>
      <c r="F53" s="31"/>
      <c r="G53" s="31"/>
      <c r="H53" s="32">
        <f t="shared" si="1"/>
        <v>0</v>
      </c>
      <c r="I53" s="11"/>
      <c r="J53" s="11"/>
      <c r="K53" s="11"/>
      <c r="L53" s="11"/>
      <c r="M53" s="11"/>
      <c r="N53" s="11"/>
      <c r="O53" s="11"/>
      <c r="P53" s="11"/>
      <c r="Q53" s="11"/>
      <c r="R53" s="11"/>
      <c r="S53" s="11"/>
      <c r="T53" s="11"/>
      <c r="U53" s="11"/>
      <c r="V53" s="11"/>
      <c r="W53" s="11"/>
      <c r="X53" s="11"/>
      <c r="Y53" s="11"/>
      <c r="Z53" s="11"/>
    </row>
    <row r="54" spans="1:26" ht="15.75" customHeight="1">
      <c r="A54" s="11"/>
      <c r="B54" s="30" t="str">
        <f t="shared" si="0"/>
        <v>[Profession/Role/Grade]</v>
      </c>
      <c r="C54" s="31"/>
      <c r="D54" s="31"/>
      <c r="E54" s="31"/>
      <c r="F54" s="31"/>
      <c r="G54" s="31"/>
      <c r="H54" s="32">
        <f t="shared" si="1"/>
        <v>0</v>
      </c>
      <c r="I54" s="11"/>
      <c r="J54" s="11"/>
      <c r="K54" s="11"/>
      <c r="L54" s="11"/>
      <c r="M54" s="11"/>
      <c r="N54" s="11"/>
      <c r="O54" s="11"/>
      <c r="P54" s="11"/>
      <c r="Q54" s="11"/>
      <c r="R54" s="11"/>
      <c r="S54" s="11"/>
      <c r="T54" s="11"/>
      <c r="U54" s="11"/>
      <c r="V54" s="11"/>
      <c r="W54" s="11"/>
      <c r="X54" s="11"/>
      <c r="Y54" s="11"/>
      <c r="Z54" s="11"/>
    </row>
    <row r="55" spans="1:26" ht="15.75" customHeight="1">
      <c r="A55" s="11"/>
      <c r="B55" s="30" t="str">
        <f t="shared" si="0"/>
        <v>[Profession/Role/Grade]</v>
      </c>
      <c r="C55" s="31"/>
      <c r="D55" s="31"/>
      <c r="E55" s="31"/>
      <c r="F55" s="31"/>
      <c r="G55" s="31"/>
      <c r="H55" s="32">
        <f t="shared" si="1"/>
        <v>0</v>
      </c>
      <c r="I55" s="11"/>
      <c r="J55" s="11"/>
      <c r="K55" s="11"/>
      <c r="L55" s="11"/>
      <c r="M55" s="11"/>
      <c r="N55" s="11"/>
      <c r="O55" s="11"/>
      <c r="P55" s="11"/>
      <c r="Q55" s="11"/>
      <c r="R55" s="11"/>
      <c r="S55" s="11"/>
      <c r="T55" s="11"/>
      <c r="U55" s="11"/>
      <c r="V55" s="11"/>
      <c r="W55" s="11"/>
      <c r="X55" s="11"/>
      <c r="Y55" s="11"/>
      <c r="Z55" s="11"/>
    </row>
    <row r="56" spans="1:26" ht="15.75" customHeight="1">
      <c r="A56" s="11"/>
      <c r="B56" s="34" t="s">
        <v>48</v>
      </c>
      <c r="C56" s="35">
        <f t="shared" ref="C56:H56" si="2">SUM(C35:C55)</f>
        <v>1146178.737624523</v>
      </c>
      <c r="D56" s="35">
        <f t="shared" si="2"/>
        <v>1168102.3123770137</v>
      </c>
      <c r="E56" s="35">
        <f t="shared" si="2"/>
        <v>1190464.358624554</v>
      </c>
      <c r="F56" s="35">
        <f t="shared" si="2"/>
        <v>1213273.6457970452</v>
      </c>
      <c r="G56" s="35">
        <f t="shared" si="2"/>
        <v>1236539.1187129854</v>
      </c>
      <c r="H56" s="35">
        <f t="shared" si="2"/>
        <v>5954558.1731361225</v>
      </c>
      <c r="I56" s="11"/>
      <c r="J56" s="11"/>
      <c r="K56" s="11"/>
      <c r="L56" s="11"/>
      <c r="M56" s="11"/>
      <c r="N56" s="11"/>
      <c r="O56" s="11"/>
      <c r="P56" s="11"/>
      <c r="Q56" s="11"/>
      <c r="R56" s="11"/>
      <c r="S56" s="11"/>
      <c r="T56" s="11"/>
      <c r="U56" s="11"/>
      <c r="V56" s="11"/>
      <c r="W56" s="11"/>
      <c r="X56" s="11"/>
      <c r="Y56" s="11"/>
      <c r="Z56" s="11"/>
    </row>
    <row r="57" spans="1:26"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5.75" customHeight="1">
      <c r="A58" s="24" t="s">
        <v>49</v>
      </c>
      <c r="B58" s="29" t="s">
        <v>50</v>
      </c>
      <c r="C58" s="19" t="s">
        <v>18</v>
      </c>
      <c r="D58" s="19" t="s">
        <v>19</v>
      </c>
      <c r="E58" s="19" t="s">
        <v>20</v>
      </c>
      <c r="F58" s="19" t="s">
        <v>21</v>
      </c>
      <c r="G58" s="19" t="s">
        <v>22</v>
      </c>
      <c r="H58" s="19" t="s">
        <v>23</v>
      </c>
      <c r="I58" s="11"/>
      <c r="J58" s="11"/>
      <c r="K58" s="11"/>
      <c r="L58" s="11"/>
      <c r="M58" s="11"/>
      <c r="N58" s="11"/>
      <c r="O58" s="11"/>
      <c r="P58" s="11"/>
      <c r="Q58" s="11"/>
      <c r="R58" s="11"/>
      <c r="S58" s="11"/>
      <c r="T58" s="11"/>
      <c r="U58" s="11"/>
      <c r="V58" s="11"/>
      <c r="W58" s="11"/>
      <c r="X58" s="11"/>
      <c r="Y58" s="11"/>
      <c r="Z58" s="11"/>
    </row>
    <row r="59" spans="1:26" ht="15.75" customHeight="1">
      <c r="A59" s="11" t="s">
        <v>51</v>
      </c>
      <c r="B59" s="36" t="s">
        <v>52</v>
      </c>
      <c r="C59" s="31">
        <v>11000</v>
      </c>
      <c r="D59" s="31"/>
      <c r="E59" s="31"/>
      <c r="F59" s="31"/>
      <c r="G59" s="31"/>
      <c r="H59" s="32">
        <f t="shared" ref="H59:H64" si="3">SUM(C59:G59)</f>
        <v>11000</v>
      </c>
      <c r="I59" s="11"/>
      <c r="J59" s="11"/>
      <c r="K59" s="11"/>
      <c r="L59" s="11"/>
      <c r="M59" s="11"/>
      <c r="N59" s="11"/>
      <c r="O59" s="11"/>
      <c r="P59" s="11"/>
      <c r="Q59" s="11"/>
      <c r="R59" s="11"/>
      <c r="S59" s="11"/>
      <c r="T59" s="11"/>
      <c r="U59" s="11"/>
      <c r="V59" s="11"/>
      <c r="W59" s="11"/>
      <c r="X59" s="11"/>
      <c r="Y59" s="11"/>
      <c r="Z59" s="11"/>
    </row>
    <row r="60" spans="1:26" ht="15.75" customHeight="1">
      <c r="A60" s="33">
        <f>0.15*C59</f>
        <v>1650</v>
      </c>
      <c r="B60" s="36" t="s">
        <v>53</v>
      </c>
      <c r="C60" s="31">
        <v>1500</v>
      </c>
      <c r="D60" s="31"/>
      <c r="E60" s="31"/>
      <c r="F60" s="31"/>
      <c r="G60" s="31"/>
      <c r="H60" s="32">
        <f t="shared" si="3"/>
        <v>1500</v>
      </c>
      <c r="I60" s="11"/>
      <c r="J60" s="11"/>
      <c r="K60" s="11"/>
      <c r="L60" s="11"/>
      <c r="M60" s="11"/>
      <c r="N60" s="11"/>
      <c r="O60" s="11"/>
      <c r="P60" s="11"/>
      <c r="Q60" s="11"/>
      <c r="R60" s="11"/>
      <c r="S60" s="11"/>
      <c r="T60" s="11"/>
      <c r="U60" s="11"/>
      <c r="V60" s="11"/>
      <c r="W60" s="11"/>
      <c r="X60" s="11"/>
      <c r="Y60" s="11"/>
      <c r="Z60" s="11"/>
    </row>
    <row r="61" spans="1:26" ht="15.75" customHeight="1">
      <c r="A61" s="33">
        <f>0.03*C59</f>
        <v>330</v>
      </c>
      <c r="B61" s="36" t="s">
        <v>54</v>
      </c>
      <c r="C61" s="31">
        <v>1000</v>
      </c>
      <c r="D61" s="31"/>
      <c r="E61" s="31"/>
      <c r="F61" s="31"/>
      <c r="G61" s="31"/>
      <c r="H61" s="32">
        <f t="shared" si="3"/>
        <v>1000</v>
      </c>
      <c r="I61" s="11"/>
      <c r="J61" s="11"/>
      <c r="K61" s="11"/>
      <c r="L61" s="11"/>
      <c r="M61" s="11"/>
      <c r="N61" s="11"/>
      <c r="O61" s="11"/>
      <c r="P61" s="11"/>
      <c r="Q61" s="11"/>
      <c r="R61" s="11"/>
      <c r="S61" s="11"/>
      <c r="T61" s="11"/>
      <c r="U61" s="11"/>
      <c r="V61" s="11"/>
      <c r="W61" s="11"/>
      <c r="X61" s="11"/>
      <c r="Y61" s="11"/>
      <c r="Z61" s="11"/>
    </row>
    <row r="62" spans="1:26" ht="15.75" customHeight="1">
      <c r="A62" s="11"/>
      <c r="B62" s="26" t="s">
        <v>55</v>
      </c>
      <c r="C62" s="31">
        <v>3000</v>
      </c>
      <c r="D62" s="31"/>
      <c r="E62" s="31"/>
      <c r="F62" s="31"/>
      <c r="G62" s="31"/>
      <c r="H62" s="32">
        <f t="shared" si="3"/>
        <v>3000</v>
      </c>
      <c r="I62" s="11"/>
      <c r="J62" s="11"/>
      <c r="K62" s="11"/>
      <c r="L62" s="11"/>
      <c r="M62" s="11"/>
      <c r="N62" s="11"/>
      <c r="O62" s="11"/>
      <c r="P62" s="11"/>
      <c r="Q62" s="11"/>
      <c r="R62" s="11"/>
      <c r="S62" s="11"/>
      <c r="T62" s="11"/>
      <c r="U62" s="11"/>
      <c r="V62" s="11"/>
      <c r="W62" s="11"/>
      <c r="X62" s="11"/>
      <c r="Y62" s="11"/>
      <c r="Z62" s="11"/>
    </row>
    <row r="63" spans="1:26" ht="15.75" customHeight="1">
      <c r="A63" s="11"/>
      <c r="B63" s="26" t="s">
        <v>56</v>
      </c>
      <c r="C63" s="31"/>
      <c r="D63" s="31"/>
      <c r="E63" s="31"/>
      <c r="F63" s="31"/>
      <c r="G63" s="31"/>
      <c r="H63" s="32">
        <f t="shared" si="3"/>
        <v>0</v>
      </c>
      <c r="I63" s="11"/>
      <c r="J63" s="11"/>
      <c r="K63" s="11"/>
      <c r="L63" s="11"/>
      <c r="M63" s="11"/>
      <c r="N63" s="11"/>
      <c r="O63" s="11"/>
      <c r="P63" s="11"/>
      <c r="Q63" s="11"/>
      <c r="R63" s="11"/>
      <c r="S63" s="11"/>
      <c r="T63" s="11"/>
      <c r="U63" s="11"/>
      <c r="V63" s="11"/>
      <c r="W63" s="11"/>
      <c r="X63" s="11"/>
      <c r="Y63" s="11"/>
      <c r="Z63" s="11"/>
    </row>
    <row r="64" spans="1:26" ht="15.75" customHeight="1">
      <c r="A64" s="11"/>
      <c r="B64" s="26" t="s">
        <v>56</v>
      </c>
      <c r="C64" s="31"/>
      <c r="D64" s="31"/>
      <c r="E64" s="31"/>
      <c r="F64" s="31"/>
      <c r="G64" s="31"/>
      <c r="H64" s="32">
        <f t="shared" si="3"/>
        <v>0</v>
      </c>
      <c r="I64" s="11"/>
      <c r="J64" s="11"/>
      <c r="K64" s="11"/>
      <c r="L64" s="11"/>
      <c r="M64" s="11"/>
      <c r="N64" s="11"/>
      <c r="O64" s="11"/>
      <c r="P64" s="11"/>
      <c r="Q64" s="11"/>
      <c r="R64" s="11"/>
      <c r="S64" s="11"/>
      <c r="T64" s="11"/>
      <c r="U64" s="11"/>
      <c r="V64" s="11"/>
      <c r="W64" s="11"/>
      <c r="X64" s="11"/>
      <c r="Y64" s="11"/>
      <c r="Z64" s="11"/>
    </row>
    <row r="65" spans="1:26" ht="15.75" customHeight="1">
      <c r="A65" s="11"/>
      <c r="B65" s="34" t="s">
        <v>57</v>
      </c>
      <c r="C65" s="35">
        <f t="shared" ref="C65:H65" si="4">SUM(C59:C64)</f>
        <v>16500</v>
      </c>
      <c r="D65" s="35">
        <f t="shared" si="4"/>
        <v>0</v>
      </c>
      <c r="E65" s="35">
        <f t="shared" si="4"/>
        <v>0</v>
      </c>
      <c r="F65" s="35">
        <f t="shared" si="4"/>
        <v>0</v>
      </c>
      <c r="G65" s="35">
        <f t="shared" si="4"/>
        <v>0</v>
      </c>
      <c r="H65" s="35">
        <f t="shared" si="4"/>
        <v>16500</v>
      </c>
      <c r="I65" s="11"/>
      <c r="J65" s="11"/>
      <c r="K65" s="11"/>
      <c r="L65" s="11"/>
      <c r="M65" s="11"/>
      <c r="N65" s="11"/>
      <c r="O65" s="11"/>
      <c r="P65" s="11"/>
      <c r="Q65" s="11"/>
      <c r="R65" s="11"/>
      <c r="S65" s="11"/>
      <c r="T65" s="11"/>
      <c r="U65" s="11"/>
      <c r="V65" s="11"/>
      <c r="W65" s="11"/>
      <c r="X65" s="11"/>
      <c r="Y65" s="11"/>
      <c r="Z65" s="11"/>
    </row>
    <row r="66" spans="1:2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5.75" customHeight="1">
      <c r="A67" s="11"/>
      <c r="B67" s="11"/>
      <c r="C67" s="19" t="s">
        <v>18</v>
      </c>
      <c r="D67" s="19" t="s">
        <v>19</v>
      </c>
      <c r="E67" s="19" t="s">
        <v>20</v>
      </c>
      <c r="F67" s="19" t="s">
        <v>21</v>
      </c>
      <c r="G67" s="19" t="s">
        <v>22</v>
      </c>
      <c r="H67" s="19" t="s">
        <v>23</v>
      </c>
      <c r="I67" s="11"/>
      <c r="J67" s="11"/>
      <c r="K67" s="11"/>
      <c r="L67" s="11"/>
      <c r="M67" s="11"/>
      <c r="N67" s="11"/>
      <c r="O67" s="11"/>
      <c r="P67" s="11"/>
      <c r="Q67" s="11"/>
      <c r="R67" s="11"/>
      <c r="S67" s="11"/>
      <c r="T67" s="11"/>
      <c r="U67" s="11"/>
      <c r="V67" s="11"/>
      <c r="W67" s="11"/>
      <c r="X67" s="11"/>
      <c r="Y67" s="11"/>
      <c r="Z67" s="11"/>
    </row>
    <row r="68" spans="1:26" ht="15.75" customHeight="1">
      <c r="A68" s="24"/>
      <c r="B68" s="34" t="s">
        <v>58</v>
      </c>
      <c r="C68" s="35">
        <f t="shared" ref="C68:G68" si="5">C56+C65</f>
        <v>1162678.737624523</v>
      </c>
      <c r="D68" s="35">
        <f t="shared" si="5"/>
        <v>1168102.3123770137</v>
      </c>
      <c r="E68" s="35">
        <f t="shared" si="5"/>
        <v>1190464.358624554</v>
      </c>
      <c r="F68" s="35">
        <f t="shared" si="5"/>
        <v>1213273.6457970452</v>
      </c>
      <c r="G68" s="35">
        <f t="shared" si="5"/>
        <v>1236539.1187129854</v>
      </c>
      <c r="H68" s="35">
        <f>SUM(C68:G68)</f>
        <v>5971058.1731361207</v>
      </c>
      <c r="I68" s="11"/>
      <c r="J68" s="11"/>
      <c r="K68" s="11"/>
      <c r="L68" s="11"/>
      <c r="M68" s="11"/>
      <c r="N68" s="11"/>
      <c r="O68" s="11"/>
      <c r="P68" s="11"/>
      <c r="Q68" s="11"/>
      <c r="R68" s="11"/>
      <c r="S68" s="11"/>
      <c r="T68" s="11"/>
      <c r="U68" s="11"/>
      <c r="V68" s="11"/>
      <c r="W68" s="11"/>
      <c r="X68" s="11"/>
      <c r="Y68" s="11"/>
      <c r="Z68" s="11"/>
    </row>
    <row r="69" spans="1:26"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5.75" customHeight="1">
      <c r="A70" s="24" t="s">
        <v>59</v>
      </c>
      <c r="B70" s="29" t="s">
        <v>60</v>
      </c>
      <c r="C70" s="19" t="s">
        <v>18</v>
      </c>
      <c r="D70" s="19" t="s">
        <v>19</v>
      </c>
      <c r="E70" s="19" t="s">
        <v>20</v>
      </c>
      <c r="F70" s="19" t="s">
        <v>21</v>
      </c>
      <c r="G70" s="19" t="s">
        <v>22</v>
      </c>
      <c r="H70" s="19" t="s">
        <v>23</v>
      </c>
      <c r="I70" s="11"/>
      <c r="J70" s="11"/>
      <c r="K70" s="11"/>
      <c r="L70" s="11"/>
      <c r="M70" s="11"/>
      <c r="N70" s="11"/>
      <c r="O70" s="11"/>
      <c r="P70" s="11"/>
      <c r="Q70" s="11"/>
      <c r="R70" s="11"/>
      <c r="S70" s="11"/>
      <c r="T70" s="11"/>
      <c r="U70" s="11"/>
      <c r="V70" s="11"/>
      <c r="W70" s="11"/>
      <c r="X70" s="11"/>
      <c r="Y70" s="11"/>
      <c r="Z70" s="11"/>
    </row>
    <row r="71" spans="1:26" ht="15.75" customHeight="1">
      <c r="A71" s="11"/>
      <c r="B71" s="26" t="s">
        <v>61</v>
      </c>
      <c r="C71" s="31">
        <v>105100</v>
      </c>
      <c r="D71" s="31">
        <v>105100</v>
      </c>
      <c r="E71" s="31">
        <v>105100</v>
      </c>
      <c r="F71" s="31">
        <v>105100</v>
      </c>
      <c r="G71" s="31">
        <v>105100</v>
      </c>
      <c r="H71" s="32">
        <f t="shared" ref="H71:H83" si="6">SUM(C71:G71)</f>
        <v>525500</v>
      </c>
      <c r="I71" s="11"/>
      <c r="J71" s="11"/>
      <c r="K71" s="11"/>
      <c r="L71" s="11"/>
      <c r="M71" s="11"/>
      <c r="N71" s="11"/>
      <c r="O71" s="11"/>
      <c r="P71" s="11"/>
      <c r="Q71" s="11"/>
      <c r="R71" s="11"/>
      <c r="S71" s="11"/>
      <c r="T71" s="11"/>
      <c r="U71" s="11"/>
      <c r="V71" s="11"/>
      <c r="W71" s="11"/>
      <c r="X71" s="11"/>
      <c r="Y71" s="11"/>
      <c r="Z71" s="11"/>
    </row>
    <row r="72" spans="1:26" ht="15.75" customHeight="1">
      <c r="A72" s="11"/>
      <c r="B72" s="26" t="s">
        <v>62</v>
      </c>
      <c r="C72" s="31">
        <v>10000</v>
      </c>
      <c r="D72" s="31">
        <v>10000</v>
      </c>
      <c r="E72" s="31">
        <v>10000</v>
      </c>
      <c r="F72" s="31">
        <v>10000</v>
      </c>
      <c r="G72" s="31">
        <v>10000</v>
      </c>
      <c r="H72" s="32">
        <f t="shared" si="6"/>
        <v>50000</v>
      </c>
      <c r="I72" s="11"/>
      <c r="J72" s="11"/>
      <c r="K72" s="11"/>
      <c r="L72" s="11"/>
      <c r="M72" s="11"/>
      <c r="N72" s="11"/>
      <c r="O72" s="11"/>
      <c r="P72" s="11"/>
      <c r="Q72" s="11"/>
      <c r="R72" s="11"/>
      <c r="S72" s="11"/>
      <c r="T72" s="11"/>
      <c r="U72" s="11"/>
      <c r="V72" s="11"/>
      <c r="W72" s="11"/>
      <c r="X72" s="11"/>
      <c r="Y72" s="11"/>
      <c r="Z72" s="11"/>
    </row>
    <row r="73" spans="1:26" ht="15.75" customHeight="1">
      <c r="A73" s="11"/>
      <c r="B73" s="26" t="s">
        <v>63</v>
      </c>
      <c r="C73" s="31">
        <v>20000</v>
      </c>
      <c r="D73" s="31">
        <v>20000</v>
      </c>
      <c r="E73" s="31">
        <v>20000</v>
      </c>
      <c r="F73" s="31">
        <v>20000</v>
      </c>
      <c r="G73" s="31">
        <v>20000</v>
      </c>
      <c r="H73" s="32">
        <f t="shared" si="6"/>
        <v>100000</v>
      </c>
      <c r="I73" s="11"/>
      <c r="J73" s="11"/>
      <c r="K73" s="11"/>
      <c r="L73" s="11"/>
      <c r="M73" s="11"/>
      <c r="N73" s="11"/>
      <c r="O73" s="11"/>
      <c r="P73" s="11"/>
      <c r="Q73" s="11"/>
      <c r="R73" s="11"/>
      <c r="S73" s="11"/>
      <c r="T73" s="11"/>
      <c r="U73" s="11"/>
      <c r="V73" s="11"/>
      <c r="W73" s="11"/>
      <c r="X73" s="11"/>
      <c r="Y73" s="11"/>
      <c r="Z73" s="11"/>
    </row>
    <row r="74" spans="1:26" ht="15.75" customHeight="1">
      <c r="A74" s="11"/>
      <c r="B74" s="26" t="s">
        <v>64</v>
      </c>
      <c r="C74" s="31">
        <v>11000</v>
      </c>
      <c r="D74" s="31">
        <v>11000</v>
      </c>
      <c r="E74" s="31">
        <v>11000</v>
      </c>
      <c r="F74" s="31">
        <v>11000</v>
      </c>
      <c r="G74" s="31">
        <v>11000</v>
      </c>
      <c r="H74" s="32">
        <f t="shared" si="6"/>
        <v>55000</v>
      </c>
      <c r="I74" s="11"/>
      <c r="J74" s="11"/>
      <c r="K74" s="11"/>
      <c r="L74" s="11"/>
      <c r="M74" s="11"/>
      <c r="N74" s="11"/>
      <c r="O74" s="11"/>
      <c r="P74" s="11"/>
      <c r="Q74" s="11"/>
      <c r="R74" s="11"/>
      <c r="S74" s="11"/>
      <c r="T74" s="11"/>
      <c r="U74" s="11"/>
      <c r="V74" s="11"/>
      <c r="W74" s="11"/>
      <c r="X74" s="11"/>
      <c r="Y74" s="11"/>
      <c r="Z74" s="11"/>
    </row>
    <row r="75" spans="1:26" ht="15.75" customHeight="1">
      <c r="A75" s="11"/>
      <c r="B75" s="26" t="s">
        <v>65</v>
      </c>
      <c r="C75" s="31">
        <v>10000</v>
      </c>
      <c r="D75" s="31">
        <v>10000</v>
      </c>
      <c r="E75" s="31">
        <v>10000</v>
      </c>
      <c r="F75" s="31">
        <v>10000</v>
      </c>
      <c r="G75" s="31">
        <v>10000</v>
      </c>
      <c r="H75" s="32">
        <f t="shared" si="6"/>
        <v>50000</v>
      </c>
      <c r="I75" s="11"/>
      <c r="J75" s="11"/>
      <c r="K75" s="11"/>
      <c r="L75" s="11"/>
      <c r="M75" s="11"/>
      <c r="N75" s="11"/>
      <c r="O75" s="11"/>
      <c r="P75" s="11"/>
      <c r="Q75" s="11"/>
      <c r="R75" s="11"/>
      <c r="S75" s="11"/>
      <c r="T75" s="11"/>
      <c r="U75" s="11"/>
      <c r="V75" s="11"/>
      <c r="W75" s="11"/>
      <c r="X75" s="11"/>
      <c r="Y75" s="11"/>
      <c r="Z75" s="11"/>
    </row>
    <row r="76" spans="1:26" ht="15.75" customHeight="1">
      <c r="A76" s="11"/>
      <c r="B76" s="26" t="s">
        <v>66</v>
      </c>
      <c r="C76" s="31">
        <v>0</v>
      </c>
      <c r="D76" s="31">
        <v>0</v>
      </c>
      <c r="E76" s="31">
        <v>0</v>
      </c>
      <c r="F76" s="31">
        <v>0</v>
      </c>
      <c r="G76" s="31">
        <v>0</v>
      </c>
      <c r="H76" s="32">
        <f t="shared" si="6"/>
        <v>0</v>
      </c>
      <c r="I76" s="11"/>
      <c r="J76" s="11"/>
      <c r="K76" s="11"/>
      <c r="L76" s="11"/>
      <c r="M76" s="11"/>
      <c r="N76" s="11"/>
      <c r="O76" s="11"/>
      <c r="P76" s="11"/>
      <c r="Q76" s="11"/>
      <c r="R76" s="11"/>
      <c r="S76" s="11"/>
      <c r="T76" s="11"/>
      <c r="U76" s="11"/>
      <c r="V76" s="11"/>
      <c r="W76" s="11"/>
      <c r="X76" s="11"/>
      <c r="Y76" s="11"/>
      <c r="Z76" s="11"/>
    </row>
    <row r="77" spans="1:26" ht="15.75" customHeight="1">
      <c r="A77" s="11"/>
      <c r="B77" s="26" t="s">
        <v>67</v>
      </c>
      <c r="C77" s="31">
        <v>0</v>
      </c>
      <c r="D77" s="31">
        <v>0</v>
      </c>
      <c r="E77" s="31">
        <v>0</v>
      </c>
      <c r="F77" s="31">
        <v>0</v>
      </c>
      <c r="G77" s="31">
        <v>0</v>
      </c>
      <c r="H77" s="32">
        <f t="shared" si="6"/>
        <v>0</v>
      </c>
      <c r="I77" s="11"/>
      <c r="J77" s="11"/>
      <c r="K77" s="11"/>
      <c r="L77" s="11"/>
      <c r="M77" s="11"/>
      <c r="N77" s="11"/>
      <c r="O77" s="11"/>
      <c r="P77" s="11"/>
      <c r="Q77" s="11"/>
      <c r="R77" s="11"/>
      <c r="S77" s="11"/>
      <c r="T77" s="11"/>
      <c r="U77" s="11"/>
      <c r="V77" s="11"/>
      <c r="W77" s="11"/>
      <c r="X77" s="11"/>
      <c r="Y77" s="11"/>
      <c r="Z77" s="11"/>
    </row>
    <row r="78" spans="1:26" ht="15.75" customHeight="1">
      <c r="A78" s="11"/>
      <c r="B78" s="26" t="s">
        <v>68</v>
      </c>
      <c r="C78" s="31">
        <v>0</v>
      </c>
      <c r="D78" s="31">
        <v>0</v>
      </c>
      <c r="E78" s="31">
        <v>0</v>
      </c>
      <c r="F78" s="31">
        <v>0</v>
      </c>
      <c r="G78" s="31">
        <v>0</v>
      </c>
      <c r="H78" s="32">
        <f t="shared" si="6"/>
        <v>0</v>
      </c>
      <c r="I78" s="11"/>
      <c r="J78" s="11"/>
      <c r="K78" s="11"/>
      <c r="L78" s="11"/>
      <c r="M78" s="11"/>
      <c r="N78" s="11"/>
      <c r="O78" s="11"/>
      <c r="P78" s="11"/>
      <c r="Q78" s="11"/>
      <c r="R78" s="11"/>
      <c r="S78" s="11"/>
      <c r="T78" s="11"/>
      <c r="U78" s="11"/>
      <c r="V78" s="11"/>
      <c r="W78" s="11"/>
      <c r="X78" s="11"/>
      <c r="Y78" s="11"/>
      <c r="Z78" s="11"/>
    </row>
    <row r="79" spans="1:26" ht="15.75" customHeight="1">
      <c r="A79" s="11"/>
      <c r="B79" s="26" t="s">
        <v>69</v>
      </c>
      <c r="C79" s="31">
        <v>0</v>
      </c>
      <c r="D79" s="31">
        <v>0</v>
      </c>
      <c r="E79" s="31">
        <v>0</v>
      </c>
      <c r="F79" s="31">
        <v>0</v>
      </c>
      <c r="G79" s="31">
        <v>0</v>
      </c>
      <c r="H79" s="32">
        <f t="shared" si="6"/>
        <v>0</v>
      </c>
      <c r="I79" s="11"/>
      <c r="J79" s="11"/>
      <c r="K79" s="11"/>
      <c r="L79" s="11"/>
      <c r="M79" s="11"/>
      <c r="N79" s="11"/>
      <c r="O79" s="11"/>
      <c r="P79" s="11"/>
      <c r="Q79" s="11"/>
      <c r="R79" s="11"/>
      <c r="S79" s="11"/>
      <c r="T79" s="11"/>
      <c r="U79" s="11"/>
      <c r="V79" s="11"/>
      <c r="W79" s="11"/>
      <c r="X79" s="11"/>
      <c r="Y79" s="11"/>
      <c r="Z79" s="11"/>
    </row>
    <row r="80" spans="1:26" ht="15.75" customHeight="1">
      <c r="A80" s="11"/>
      <c r="B80" s="26" t="s">
        <v>70</v>
      </c>
      <c r="C80" s="31">
        <v>0</v>
      </c>
      <c r="D80" s="31">
        <v>0</v>
      </c>
      <c r="E80" s="31">
        <v>0</v>
      </c>
      <c r="F80" s="31">
        <v>0</v>
      </c>
      <c r="G80" s="31">
        <v>0</v>
      </c>
      <c r="H80" s="32">
        <f t="shared" si="6"/>
        <v>0</v>
      </c>
      <c r="I80" s="11"/>
      <c r="J80" s="11"/>
      <c r="K80" s="11"/>
      <c r="L80" s="11"/>
      <c r="M80" s="11"/>
      <c r="N80" s="11"/>
      <c r="O80" s="11"/>
      <c r="P80" s="11"/>
      <c r="Q80" s="11"/>
      <c r="R80" s="11"/>
      <c r="S80" s="11"/>
      <c r="T80" s="11"/>
      <c r="U80" s="11"/>
      <c r="V80" s="11"/>
      <c r="W80" s="11"/>
      <c r="X80" s="11"/>
      <c r="Y80" s="11"/>
      <c r="Z80" s="11"/>
    </row>
    <row r="81" spans="1:26" ht="15.75" customHeight="1">
      <c r="A81" s="11"/>
      <c r="B81" s="26"/>
      <c r="C81" s="31"/>
      <c r="D81" s="31"/>
      <c r="E81" s="31"/>
      <c r="F81" s="31"/>
      <c r="G81" s="31"/>
      <c r="H81" s="32">
        <f t="shared" si="6"/>
        <v>0</v>
      </c>
      <c r="I81" s="11"/>
      <c r="J81" s="11"/>
      <c r="K81" s="11"/>
      <c r="L81" s="11"/>
      <c r="M81" s="11"/>
      <c r="N81" s="11"/>
      <c r="O81" s="11"/>
      <c r="P81" s="11"/>
      <c r="Q81" s="11"/>
      <c r="R81" s="11"/>
      <c r="S81" s="11"/>
      <c r="T81" s="11"/>
      <c r="U81" s="11"/>
      <c r="V81" s="11"/>
      <c r="W81" s="11"/>
      <c r="X81" s="11"/>
      <c r="Y81" s="11"/>
      <c r="Z81" s="11"/>
    </row>
    <row r="82" spans="1:26" ht="15.75" customHeight="1">
      <c r="A82" s="11"/>
      <c r="B82" s="26"/>
      <c r="C82" s="31"/>
      <c r="D82" s="31"/>
      <c r="E82" s="31"/>
      <c r="F82" s="31"/>
      <c r="G82" s="31"/>
      <c r="H82" s="32">
        <f t="shared" si="6"/>
        <v>0</v>
      </c>
      <c r="I82" s="11"/>
      <c r="J82" s="11"/>
      <c r="K82" s="11"/>
      <c r="L82" s="11"/>
      <c r="M82" s="11"/>
      <c r="N82" s="11"/>
      <c r="O82" s="11"/>
      <c r="P82" s="11"/>
      <c r="Q82" s="11"/>
      <c r="R82" s="11"/>
      <c r="S82" s="11"/>
      <c r="T82" s="11"/>
      <c r="U82" s="11"/>
      <c r="V82" s="11"/>
      <c r="W82" s="11"/>
      <c r="X82" s="11"/>
      <c r="Y82" s="11"/>
      <c r="Z82" s="11"/>
    </row>
    <row r="83" spans="1:26" ht="15.75" customHeight="1">
      <c r="A83" s="11"/>
      <c r="B83" s="26"/>
      <c r="C83" s="31"/>
      <c r="D83" s="31"/>
      <c r="E83" s="31"/>
      <c r="F83" s="31"/>
      <c r="G83" s="31"/>
      <c r="H83" s="32">
        <f t="shared" si="6"/>
        <v>0</v>
      </c>
      <c r="I83" s="11"/>
      <c r="J83" s="11"/>
      <c r="K83" s="11"/>
      <c r="L83" s="11"/>
      <c r="M83" s="11"/>
      <c r="N83" s="11"/>
      <c r="O83" s="11"/>
      <c r="P83" s="11"/>
      <c r="Q83" s="11"/>
      <c r="R83" s="11"/>
      <c r="S83" s="11"/>
      <c r="T83" s="11"/>
      <c r="U83" s="11"/>
      <c r="V83" s="11"/>
      <c r="W83" s="11"/>
      <c r="X83" s="11"/>
      <c r="Y83" s="11"/>
      <c r="Z83" s="11"/>
    </row>
    <row r="84" spans="1:26" ht="15.75" customHeight="1">
      <c r="A84" s="11"/>
      <c r="B84" s="34" t="s">
        <v>71</v>
      </c>
      <c r="C84" s="35">
        <f t="shared" ref="C84:H84" si="7">SUM(C71:C83)</f>
        <v>156100</v>
      </c>
      <c r="D84" s="35">
        <f t="shared" si="7"/>
        <v>156100</v>
      </c>
      <c r="E84" s="35">
        <f t="shared" si="7"/>
        <v>156100</v>
      </c>
      <c r="F84" s="35">
        <f t="shared" si="7"/>
        <v>156100</v>
      </c>
      <c r="G84" s="35">
        <f t="shared" si="7"/>
        <v>156100</v>
      </c>
      <c r="H84" s="35">
        <f t="shared" si="7"/>
        <v>780500</v>
      </c>
      <c r="I84" s="11"/>
      <c r="J84" s="11"/>
      <c r="K84" s="11"/>
      <c r="L84" s="11"/>
      <c r="M84" s="11"/>
      <c r="N84" s="11"/>
      <c r="O84" s="11"/>
      <c r="P84" s="11"/>
      <c r="Q84" s="11"/>
      <c r="R84" s="11"/>
      <c r="S84" s="11"/>
      <c r="T84" s="11"/>
      <c r="U84" s="11"/>
      <c r="V84" s="11"/>
      <c r="W84" s="11"/>
      <c r="X84" s="11"/>
      <c r="Y84" s="11"/>
      <c r="Z84" s="11"/>
    </row>
    <row r="85" spans="1:26"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5.75" customHeight="1">
      <c r="A86" s="37" t="s">
        <v>72</v>
      </c>
      <c r="B86" s="29" t="s">
        <v>73</v>
      </c>
      <c r="C86" s="19" t="s">
        <v>18</v>
      </c>
      <c r="D86" s="19" t="s">
        <v>19</v>
      </c>
      <c r="E86" s="19" t="s">
        <v>20</v>
      </c>
      <c r="F86" s="19" t="s">
        <v>21</v>
      </c>
      <c r="G86" s="19" t="s">
        <v>22</v>
      </c>
      <c r="H86" s="19" t="s">
        <v>23</v>
      </c>
      <c r="I86" s="11"/>
      <c r="J86" s="11"/>
      <c r="K86" s="11"/>
      <c r="L86" s="11"/>
      <c r="M86" s="11"/>
      <c r="N86" s="11"/>
      <c r="O86" s="11"/>
      <c r="P86" s="11"/>
      <c r="Q86" s="11"/>
      <c r="R86" s="11"/>
      <c r="S86" s="11"/>
      <c r="T86" s="11"/>
      <c r="U86" s="11"/>
      <c r="V86" s="11"/>
      <c r="W86" s="11"/>
      <c r="X86" s="11"/>
      <c r="Y86" s="11"/>
      <c r="Z86" s="11"/>
    </row>
    <row r="87" spans="1:26" ht="15.75" customHeight="1">
      <c r="A87" s="11"/>
      <c r="B87" s="26" t="s">
        <v>74</v>
      </c>
      <c r="C87" s="31">
        <v>2000</v>
      </c>
      <c r="D87" s="31">
        <v>2000</v>
      </c>
      <c r="E87" s="31">
        <v>2000</v>
      </c>
      <c r="F87" s="31">
        <v>2000</v>
      </c>
      <c r="G87" s="31">
        <v>2000</v>
      </c>
      <c r="H87" s="32">
        <f t="shared" ref="H87:H114" si="8">SUM(C87:G87)</f>
        <v>10000</v>
      </c>
      <c r="I87" s="11"/>
      <c r="J87" s="11"/>
      <c r="K87" s="11"/>
      <c r="L87" s="11"/>
      <c r="M87" s="11"/>
      <c r="N87" s="11"/>
      <c r="O87" s="11"/>
      <c r="P87" s="11"/>
      <c r="Q87" s="11"/>
      <c r="R87" s="11"/>
      <c r="S87" s="11"/>
      <c r="T87" s="11"/>
      <c r="U87" s="11"/>
      <c r="V87" s="11"/>
      <c r="W87" s="11"/>
      <c r="X87" s="11"/>
      <c r="Y87" s="11"/>
      <c r="Z87" s="11"/>
    </row>
    <row r="88" spans="1:26" ht="15.75" customHeight="1">
      <c r="A88" s="11"/>
      <c r="B88" s="26" t="s">
        <v>75</v>
      </c>
      <c r="C88" s="31">
        <v>1000</v>
      </c>
      <c r="D88" s="31">
        <v>1000</v>
      </c>
      <c r="E88" s="31">
        <v>1000</v>
      </c>
      <c r="F88" s="31">
        <v>1000</v>
      </c>
      <c r="G88" s="31">
        <v>1000</v>
      </c>
      <c r="H88" s="32">
        <f t="shared" si="8"/>
        <v>5000</v>
      </c>
      <c r="I88" s="11"/>
      <c r="J88" s="11"/>
      <c r="K88" s="11"/>
      <c r="L88" s="11"/>
      <c r="M88" s="11"/>
      <c r="N88" s="11"/>
      <c r="O88" s="11"/>
      <c r="P88" s="11"/>
      <c r="Q88" s="11"/>
      <c r="R88" s="11"/>
      <c r="S88" s="11"/>
      <c r="T88" s="11"/>
      <c r="U88" s="11"/>
      <c r="V88" s="11"/>
      <c r="W88" s="11"/>
      <c r="X88" s="11"/>
      <c r="Y88" s="11"/>
      <c r="Z88" s="11"/>
    </row>
    <row r="89" spans="1:26" ht="15.75" customHeight="1">
      <c r="A89" s="11"/>
      <c r="B89" s="26" t="s">
        <v>76</v>
      </c>
      <c r="C89" s="31">
        <v>400</v>
      </c>
      <c r="D89" s="31">
        <v>400</v>
      </c>
      <c r="E89" s="31">
        <v>400</v>
      </c>
      <c r="F89" s="31">
        <v>400</v>
      </c>
      <c r="G89" s="31">
        <v>400</v>
      </c>
      <c r="H89" s="32">
        <f t="shared" si="8"/>
        <v>2000</v>
      </c>
      <c r="I89" s="11"/>
      <c r="J89" s="11"/>
      <c r="K89" s="11"/>
      <c r="L89" s="11"/>
      <c r="M89" s="11"/>
      <c r="N89" s="11"/>
      <c r="O89" s="11"/>
      <c r="P89" s="11"/>
      <c r="Q89" s="11"/>
      <c r="R89" s="11"/>
      <c r="S89" s="11"/>
      <c r="T89" s="11"/>
      <c r="U89" s="11"/>
      <c r="V89" s="11"/>
      <c r="W89" s="11"/>
      <c r="X89" s="11"/>
      <c r="Y89" s="11"/>
      <c r="Z89" s="11"/>
    </row>
    <row r="90" spans="1:26" ht="15.75" customHeight="1">
      <c r="A90" s="11"/>
      <c r="B90" s="26" t="s">
        <v>77</v>
      </c>
      <c r="C90" s="31">
        <v>5000</v>
      </c>
      <c r="D90" s="31">
        <v>5000</v>
      </c>
      <c r="E90" s="31">
        <v>5000</v>
      </c>
      <c r="F90" s="31">
        <v>5000</v>
      </c>
      <c r="G90" s="31">
        <v>5000</v>
      </c>
      <c r="H90" s="32">
        <f t="shared" si="8"/>
        <v>25000</v>
      </c>
      <c r="I90" s="11"/>
      <c r="J90" s="11"/>
      <c r="K90" s="11"/>
      <c r="L90" s="11"/>
      <c r="M90" s="11"/>
      <c r="N90" s="11"/>
      <c r="O90" s="11"/>
      <c r="P90" s="11"/>
      <c r="Q90" s="11"/>
      <c r="R90" s="11"/>
      <c r="S90" s="11"/>
      <c r="T90" s="11"/>
      <c r="U90" s="11"/>
      <c r="V90" s="11"/>
      <c r="W90" s="11"/>
      <c r="X90" s="11"/>
      <c r="Y90" s="11"/>
      <c r="Z90" s="11"/>
    </row>
    <row r="91" spans="1:26" ht="15.75" customHeight="1">
      <c r="A91" s="11"/>
      <c r="B91" s="26" t="s">
        <v>78</v>
      </c>
      <c r="C91" s="31">
        <v>3000</v>
      </c>
      <c r="D91" s="31">
        <v>3000</v>
      </c>
      <c r="E91" s="31">
        <v>3000</v>
      </c>
      <c r="F91" s="31">
        <v>3000</v>
      </c>
      <c r="G91" s="31">
        <v>3000</v>
      </c>
      <c r="H91" s="32">
        <f t="shared" si="8"/>
        <v>15000</v>
      </c>
      <c r="I91" s="11"/>
      <c r="J91" s="11"/>
      <c r="K91" s="11"/>
      <c r="L91" s="11"/>
      <c r="M91" s="11"/>
      <c r="N91" s="11"/>
      <c r="O91" s="11"/>
      <c r="P91" s="11"/>
      <c r="Q91" s="11"/>
      <c r="R91" s="11"/>
      <c r="S91" s="11"/>
      <c r="T91" s="11"/>
      <c r="U91" s="11"/>
      <c r="V91" s="11"/>
      <c r="W91" s="11"/>
      <c r="X91" s="11"/>
      <c r="Y91" s="11"/>
      <c r="Z91" s="11"/>
    </row>
    <row r="92" spans="1:26" ht="15.75" customHeight="1">
      <c r="A92" s="11"/>
      <c r="B92" s="26" t="s">
        <v>79</v>
      </c>
      <c r="C92" s="31">
        <v>1500</v>
      </c>
      <c r="D92" s="31">
        <v>1500</v>
      </c>
      <c r="E92" s="31">
        <v>1500</v>
      </c>
      <c r="F92" s="31">
        <v>1500</v>
      </c>
      <c r="G92" s="31">
        <v>1500</v>
      </c>
      <c r="H92" s="32">
        <f t="shared" si="8"/>
        <v>7500</v>
      </c>
      <c r="I92" s="11"/>
      <c r="J92" s="11"/>
      <c r="K92" s="11"/>
      <c r="L92" s="11"/>
      <c r="M92" s="11"/>
      <c r="N92" s="11"/>
      <c r="O92" s="11"/>
      <c r="P92" s="11"/>
      <c r="Q92" s="11"/>
      <c r="R92" s="11"/>
      <c r="S92" s="11"/>
      <c r="T92" s="11"/>
      <c r="U92" s="11"/>
      <c r="V92" s="11"/>
      <c r="W92" s="11"/>
      <c r="X92" s="11"/>
      <c r="Y92" s="11"/>
      <c r="Z92" s="11"/>
    </row>
    <row r="93" spans="1:26" ht="15.75" customHeight="1">
      <c r="A93" s="11"/>
      <c r="B93" s="26" t="s">
        <v>80</v>
      </c>
      <c r="C93" s="31">
        <v>1000</v>
      </c>
      <c r="D93" s="31">
        <v>1000</v>
      </c>
      <c r="E93" s="31">
        <v>1000</v>
      </c>
      <c r="F93" s="31">
        <v>1000</v>
      </c>
      <c r="G93" s="31">
        <v>1000</v>
      </c>
      <c r="H93" s="32">
        <f t="shared" si="8"/>
        <v>5000</v>
      </c>
      <c r="I93" s="11"/>
      <c r="J93" s="11"/>
      <c r="K93" s="11"/>
      <c r="L93" s="11"/>
      <c r="M93" s="11"/>
      <c r="N93" s="11"/>
      <c r="O93" s="11"/>
      <c r="P93" s="11"/>
      <c r="Q93" s="11"/>
      <c r="R93" s="11"/>
      <c r="S93" s="11"/>
      <c r="T93" s="11"/>
      <c r="U93" s="11"/>
      <c r="V93" s="11"/>
      <c r="W93" s="11"/>
      <c r="X93" s="11"/>
      <c r="Y93" s="11"/>
      <c r="Z93" s="11"/>
    </row>
    <row r="94" spans="1:26" ht="15.75" customHeight="1">
      <c r="A94" s="11"/>
      <c r="B94" s="26" t="s">
        <v>81</v>
      </c>
      <c r="C94" s="31">
        <v>40000</v>
      </c>
      <c r="D94" s="31">
        <v>40000</v>
      </c>
      <c r="E94" s="31">
        <v>40000</v>
      </c>
      <c r="F94" s="31">
        <v>40000</v>
      </c>
      <c r="G94" s="31">
        <v>40000</v>
      </c>
      <c r="H94" s="32">
        <f t="shared" si="8"/>
        <v>200000</v>
      </c>
      <c r="I94" s="11"/>
      <c r="J94" s="11"/>
      <c r="K94" s="11"/>
      <c r="L94" s="11"/>
      <c r="M94" s="11"/>
      <c r="N94" s="11"/>
      <c r="O94" s="11"/>
      <c r="P94" s="11"/>
      <c r="Q94" s="11"/>
      <c r="R94" s="11"/>
      <c r="S94" s="11"/>
      <c r="T94" s="11"/>
      <c r="U94" s="11"/>
      <c r="V94" s="11"/>
      <c r="W94" s="11"/>
      <c r="X94" s="11"/>
      <c r="Y94" s="11"/>
      <c r="Z94" s="11"/>
    </row>
    <row r="95" spans="1:26" ht="15.75" customHeight="1">
      <c r="A95" s="11"/>
      <c r="B95" s="26" t="s">
        <v>82</v>
      </c>
      <c r="C95" s="31">
        <v>5000</v>
      </c>
      <c r="D95" s="31">
        <v>5000</v>
      </c>
      <c r="E95" s="31">
        <v>5000</v>
      </c>
      <c r="F95" s="31">
        <v>5000</v>
      </c>
      <c r="G95" s="31">
        <v>5000</v>
      </c>
      <c r="H95" s="32">
        <f t="shared" si="8"/>
        <v>25000</v>
      </c>
      <c r="I95" s="11"/>
      <c r="J95" s="11"/>
      <c r="K95" s="11"/>
      <c r="L95" s="11"/>
      <c r="M95" s="11"/>
      <c r="N95" s="11"/>
      <c r="O95" s="11"/>
      <c r="P95" s="11"/>
      <c r="Q95" s="11"/>
      <c r="R95" s="11"/>
      <c r="S95" s="11"/>
      <c r="T95" s="11"/>
      <c r="U95" s="11"/>
      <c r="V95" s="11"/>
      <c r="W95" s="11"/>
      <c r="X95" s="11"/>
      <c r="Y95" s="11"/>
      <c r="Z95" s="11"/>
    </row>
    <row r="96" spans="1:26" ht="15.75" customHeight="1">
      <c r="A96" s="11"/>
      <c r="B96" s="26" t="s">
        <v>83</v>
      </c>
      <c r="C96" s="31">
        <v>2000</v>
      </c>
      <c r="D96" s="31">
        <v>2000</v>
      </c>
      <c r="E96" s="31">
        <v>2000</v>
      </c>
      <c r="F96" s="31">
        <v>2000</v>
      </c>
      <c r="G96" s="31">
        <v>2000</v>
      </c>
      <c r="H96" s="32">
        <f t="shared" si="8"/>
        <v>10000</v>
      </c>
      <c r="I96" s="11"/>
      <c r="J96" s="11"/>
      <c r="K96" s="11"/>
      <c r="L96" s="11"/>
      <c r="M96" s="11"/>
      <c r="N96" s="11"/>
      <c r="O96" s="11"/>
      <c r="P96" s="11"/>
      <c r="Q96" s="11"/>
      <c r="R96" s="11"/>
      <c r="S96" s="11"/>
      <c r="T96" s="11"/>
      <c r="U96" s="11"/>
      <c r="V96" s="11"/>
      <c r="W96" s="11"/>
      <c r="X96" s="11"/>
      <c r="Y96" s="11"/>
      <c r="Z96" s="11"/>
    </row>
    <row r="97" spans="1:26" ht="15.75" customHeight="1">
      <c r="A97" s="11"/>
      <c r="B97" s="26" t="s">
        <v>84</v>
      </c>
      <c r="C97" s="31">
        <v>1000</v>
      </c>
      <c r="D97" s="31">
        <v>1000</v>
      </c>
      <c r="E97" s="31">
        <v>1000</v>
      </c>
      <c r="F97" s="31">
        <v>1000</v>
      </c>
      <c r="G97" s="31">
        <v>1000</v>
      </c>
      <c r="H97" s="32">
        <f t="shared" si="8"/>
        <v>5000</v>
      </c>
      <c r="I97" s="11"/>
      <c r="J97" s="11"/>
      <c r="K97" s="11"/>
      <c r="L97" s="11"/>
      <c r="M97" s="11"/>
      <c r="N97" s="11"/>
      <c r="O97" s="11"/>
      <c r="P97" s="11"/>
      <c r="Q97" s="11"/>
      <c r="R97" s="11"/>
      <c r="S97" s="11"/>
      <c r="T97" s="11"/>
      <c r="U97" s="11"/>
      <c r="V97" s="11"/>
      <c r="W97" s="11"/>
      <c r="X97" s="11"/>
      <c r="Y97" s="11"/>
      <c r="Z97" s="11"/>
    </row>
    <row r="98" spans="1:26" ht="15.75" customHeight="1">
      <c r="A98" s="11"/>
      <c r="B98" s="26" t="s">
        <v>85</v>
      </c>
      <c r="C98" s="31">
        <v>1000</v>
      </c>
      <c r="D98" s="31">
        <v>1000</v>
      </c>
      <c r="E98" s="31">
        <v>1000</v>
      </c>
      <c r="F98" s="31">
        <v>1000</v>
      </c>
      <c r="G98" s="31">
        <v>1000</v>
      </c>
      <c r="H98" s="32">
        <f t="shared" si="8"/>
        <v>5000</v>
      </c>
      <c r="I98" s="11"/>
      <c r="J98" s="11"/>
      <c r="K98" s="11"/>
      <c r="L98" s="11"/>
      <c r="M98" s="11"/>
      <c r="N98" s="11"/>
      <c r="O98" s="11"/>
      <c r="P98" s="11"/>
      <c r="Q98" s="11"/>
      <c r="R98" s="11"/>
      <c r="S98" s="11"/>
      <c r="T98" s="11"/>
      <c r="U98" s="11"/>
      <c r="V98" s="11"/>
      <c r="W98" s="11"/>
      <c r="X98" s="11"/>
      <c r="Y98" s="11"/>
      <c r="Z98" s="11"/>
    </row>
    <row r="99" spans="1:26" ht="15.75" customHeight="1">
      <c r="A99" s="11"/>
      <c r="B99" s="26" t="s">
        <v>86</v>
      </c>
      <c r="C99" s="31">
        <v>40000</v>
      </c>
      <c r="D99" s="31">
        <v>0</v>
      </c>
      <c r="E99" s="31">
        <v>0</v>
      </c>
      <c r="F99" s="31">
        <v>0</v>
      </c>
      <c r="G99" s="31">
        <v>0</v>
      </c>
      <c r="H99" s="32">
        <f t="shared" si="8"/>
        <v>40000</v>
      </c>
      <c r="I99" s="11"/>
      <c r="J99" s="11"/>
      <c r="K99" s="11"/>
      <c r="L99" s="11"/>
      <c r="M99" s="11"/>
      <c r="N99" s="11"/>
      <c r="O99" s="11"/>
      <c r="P99" s="11"/>
      <c r="Q99" s="11"/>
      <c r="R99" s="11"/>
      <c r="S99" s="11"/>
      <c r="T99" s="11"/>
      <c r="U99" s="11"/>
      <c r="V99" s="11"/>
      <c r="W99" s="11"/>
      <c r="X99" s="11"/>
      <c r="Y99" s="11"/>
      <c r="Z99" s="11"/>
    </row>
    <row r="100" spans="1:26" ht="15.75" customHeight="1">
      <c r="A100" s="11"/>
      <c r="B100" s="26" t="s">
        <v>87</v>
      </c>
      <c r="C100" s="31">
        <v>1000</v>
      </c>
      <c r="D100" s="31">
        <v>1000</v>
      </c>
      <c r="E100" s="31">
        <v>1000</v>
      </c>
      <c r="F100" s="31">
        <v>1000</v>
      </c>
      <c r="G100" s="31">
        <v>1000</v>
      </c>
      <c r="H100" s="32">
        <f t="shared" si="8"/>
        <v>5000</v>
      </c>
      <c r="I100" s="11"/>
      <c r="J100" s="11"/>
      <c r="K100" s="11"/>
      <c r="L100" s="11"/>
      <c r="M100" s="11"/>
      <c r="N100" s="11"/>
      <c r="O100" s="11"/>
      <c r="P100" s="11"/>
      <c r="Q100" s="11"/>
      <c r="R100" s="11"/>
      <c r="S100" s="11"/>
      <c r="T100" s="11"/>
      <c r="U100" s="11"/>
      <c r="V100" s="11"/>
      <c r="W100" s="11"/>
      <c r="X100" s="11"/>
      <c r="Y100" s="11"/>
      <c r="Z100" s="11"/>
    </row>
    <row r="101" spans="1:26" ht="15.75" customHeight="1">
      <c r="A101" s="11"/>
      <c r="B101" s="26" t="s">
        <v>88</v>
      </c>
      <c r="C101" s="31">
        <v>4000</v>
      </c>
      <c r="D101" s="31">
        <v>4000</v>
      </c>
      <c r="E101" s="31">
        <v>4000</v>
      </c>
      <c r="F101" s="31">
        <v>4000</v>
      </c>
      <c r="G101" s="31">
        <v>4000</v>
      </c>
      <c r="H101" s="32">
        <f t="shared" si="8"/>
        <v>20000</v>
      </c>
      <c r="I101" s="11"/>
      <c r="J101" s="11"/>
      <c r="K101" s="11"/>
      <c r="L101" s="11"/>
      <c r="M101" s="11"/>
      <c r="N101" s="11"/>
      <c r="O101" s="11"/>
      <c r="P101" s="11"/>
      <c r="Q101" s="11"/>
      <c r="R101" s="11"/>
      <c r="S101" s="11"/>
      <c r="T101" s="11"/>
      <c r="U101" s="11"/>
      <c r="V101" s="11"/>
      <c r="W101" s="11"/>
      <c r="X101" s="11"/>
      <c r="Y101" s="11"/>
      <c r="Z101" s="11"/>
    </row>
    <row r="102" spans="1:26" ht="15.75" customHeight="1">
      <c r="A102" s="11"/>
      <c r="B102" s="26" t="s">
        <v>89</v>
      </c>
      <c r="C102" s="31">
        <v>0</v>
      </c>
      <c r="D102" s="31">
        <v>0</v>
      </c>
      <c r="E102" s="31">
        <v>0</v>
      </c>
      <c r="F102" s="31">
        <v>0</v>
      </c>
      <c r="G102" s="31">
        <v>0</v>
      </c>
      <c r="H102" s="32">
        <f t="shared" si="8"/>
        <v>0</v>
      </c>
      <c r="I102" s="11"/>
      <c r="J102" s="11"/>
      <c r="K102" s="11"/>
      <c r="L102" s="11"/>
      <c r="M102" s="11"/>
      <c r="N102" s="11"/>
      <c r="O102" s="11"/>
      <c r="P102" s="11"/>
      <c r="Q102" s="11"/>
      <c r="R102" s="11"/>
      <c r="S102" s="11"/>
      <c r="T102" s="11"/>
      <c r="U102" s="11"/>
      <c r="V102" s="11"/>
      <c r="W102" s="11"/>
      <c r="X102" s="11"/>
      <c r="Y102" s="11"/>
      <c r="Z102" s="11"/>
    </row>
    <row r="103" spans="1:26" ht="15.75" customHeight="1">
      <c r="A103" s="11"/>
      <c r="B103" s="26" t="s">
        <v>90</v>
      </c>
      <c r="C103" s="31">
        <v>1500</v>
      </c>
      <c r="D103" s="31">
        <v>1500</v>
      </c>
      <c r="E103" s="31">
        <v>1500</v>
      </c>
      <c r="F103" s="31">
        <v>1500</v>
      </c>
      <c r="G103" s="31">
        <v>1500</v>
      </c>
      <c r="H103" s="32">
        <f t="shared" si="8"/>
        <v>7500</v>
      </c>
      <c r="I103" s="11"/>
      <c r="J103" s="11"/>
      <c r="K103" s="11"/>
      <c r="L103" s="11"/>
      <c r="M103" s="11"/>
      <c r="N103" s="11"/>
      <c r="O103" s="11"/>
      <c r="P103" s="11"/>
      <c r="Q103" s="11"/>
      <c r="R103" s="11"/>
      <c r="S103" s="11"/>
      <c r="T103" s="11"/>
      <c r="U103" s="11"/>
      <c r="V103" s="11"/>
      <c r="W103" s="11"/>
      <c r="X103" s="11"/>
      <c r="Y103" s="11"/>
      <c r="Z103" s="11"/>
    </row>
    <row r="104" spans="1:26" ht="15.75" customHeight="1">
      <c r="A104" s="11"/>
      <c r="B104" s="26"/>
      <c r="C104" s="31"/>
      <c r="D104" s="31"/>
      <c r="E104" s="31"/>
      <c r="F104" s="31"/>
      <c r="G104" s="31"/>
      <c r="H104" s="32">
        <f t="shared" si="8"/>
        <v>0</v>
      </c>
      <c r="I104" s="11"/>
      <c r="J104" s="11"/>
      <c r="K104" s="11"/>
      <c r="L104" s="11"/>
      <c r="M104" s="11"/>
      <c r="N104" s="11"/>
      <c r="O104" s="11"/>
      <c r="P104" s="11"/>
      <c r="Q104" s="11"/>
      <c r="R104" s="11"/>
      <c r="S104" s="11"/>
      <c r="T104" s="11"/>
      <c r="U104" s="11"/>
      <c r="V104" s="11"/>
      <c r="W104" s="11"/>
      <c r="X104" s="11"/>
      <c r="Y104" s="11"/>
      <c r="Z104" s="11"/>
    </row>
    <row r="105" spans="1:26" ht="15.75" customHeight="1">
      <c r="A105" s="11"/>
      <c r="B105" s="26"/>
      <c r="C105" s="31"/>
      <c r="D105" s="31"/>
      <c r="E105" s="31"/>
      <c r="F105" s="31"/>
      <c r="G105" s="31"/>
      <c r="H105" s="32">
        <f t="shared" si="8"/>
        <v>0</v>
      </c>
      <c r="I105" s="11"/>
      <c r="J105" s="11"/>
      <c r="K105" s="11"/>
      <c r="L105" s="11"/>
      <c r="M105" s="11"/>
      <c r="N105" s="11"/>
      <c r="O105" s="11"/>
      <c r="P105" s="11"/>
      <c r="Q105" s="11"/>
      <c r="R105" s="11"/>
      <c r="S105" s="11"/>
      <c r="T105" s="11"/>
      <c r="U105" s="11"/>
      <c r="V105" s="11"/>
      <c r="W105" s="11"/>
      <c r="X105" s="11"/>
      <c r="Y105" s="11"/>
      <c r="Z105" s="11"/>
    </row>
    <row r="106" spans="1:26" ht="15.75" customHeight="1">
      <c r="A106" s="11"/>
      <c r="B106" s="26"/>
      <c r="C106" s="31"/>
      <c r="D106" s="31"/>
      <c r="E106" s="31"/>
      <c r="F106" s="31"/>
      <c r="G106" s="31"/>
      <c r="H106" s="32">
        <f t="shared" si="8"/>
        <v>0</v>
      </c>
      <c r="I106" s="11"/>
      <c r="J106" s="11"/>
      <c r="K106" s="11"/>
      <c r="L106" s="11"/>
      <c r="M106" s="11"/>
      <c r="N106" s="11"/>
      <c r="O106" s="11"/>
      <c r="P106" s="11"/>
      <c r="Q106" s="11"/>
      <c r="R106" s="11"/>
      <c r="S106" s="11"/>
      <c r="T106" s="11"/>
      <c r="U106" s="11"/>
      <c r="V106" s="11"/>
      <c r="W106" s="11"/>
      <c r="X106" s="11"/>
      <c r="Y106" s="11"/>
      <c r="Z106" s="11"/>
    </row>
    <row r="107" spans="1:26" ht="15.75" customHeight="1">
      <c r="A107" s="11"/>
      <c r="B107" s="26"/>
      <c r="C107" s="31"/>
      <c r="D107" s="31"/>
      <c r="E107" s="31"/>
      <c r="F107" s="31"/>
      <c r="G107" s="31"/>
      <c r="H107" s="32">
        <f t="shared" si="8"/>
        <v>0</v>
      </c>
      <c r="I107" s="11"/>
      <c r="J107" s="11"/>
      <c r="K107" s="11"/>
      <c r="L107" s="11"/>
      <c r="M107" s="11"/>
      <c r="N107" s="11"/>
      <c r="O107" s="11"/>
      <c r="P107" s="11"/>
      <c r="Q107" s="11"/>
      <c r="R107" s="11"/>
      <c r="S107" s="11"/>
      <c r="T107" s="11"/>
      <c r="U107" s="11"/>
      <c r="V107" s="11"/>
      <c r="W107" s="11"/>
      <c r="X107" s="11"/>
      <c r="Y107" s="11"/>
      <c r="Z107" s="11"/>
    </row>
    <row r="108" spans="1:26" ht="15.75" customHeight="1">
      <c r="A108" s="11"/>
      <c r="B108" s="26"/>
      <c r="C108" s="31"/>
      <c r="D108" s="31"/>
      <c r="E108" s="31"/>
      <c r="F108" s="31"/>
      <c r="G108" s="31"/>
      <c r="H108" s="32">
        <f t="shared" si="8"/>
        <v>0</v>
      </c>
      <c r="I108" s="11"/>
      <c r="J108" s="11"/>
      <c r="K108" s="11"/>
      <c r="L108" s="11"/>
      <c r="M108" s="11"/>
      <c r="N108" s="11"/>
      <c r="O108" s="11"/>
      <c r="P108" s="11"/>
      <c r="Q108" s="11"/>
      <c r="R108" s="11"/>
      <c r="S108" s="11"/>
      <c r="T108" s="11"/>
      <c r="U108" s="11"/>
      <c r="V108" s="11"/>
      <c r="W108" s="11"/>
      <c r="X108" s="11"/>
      <c r="Y108" s="11"/>
      <c r="Z108" s="11"/>
    </row>
    <row r="109" spans="1:26" ht="15.75" customHeight="1">
      <c r="A109" s="11"/>
      <c r="B109" s="26"/>
      <c r="C109" s="31"/>
      <c r="D109" s="31"/>
      <c r="E109" s="31"/>
      <c r="F109" s="31"/>
      <c r="G109" s="31"/>
      <c r="H109" s="32">
        <f t="shared" si="8"/>
        <v>0</v>
      </c>
      <c r="I109" s="11"/>
      <c r="J109" s="11"/>
      <c r="K109" s="11"/>
      <c r="L109" s="11"/>
      <c r="M109" s="11"/>
      <c r="N109" s="11"/>
      <c r="O109" s="11"/>
      <c r="P109" s="11"/>
      <c r="Q109" s="11"/>
      <c r="R109" s="11"/>
      <c r="S109" s="11"/>
      <c r="T109" s="11"/>
      <c r="U109" s="11"/>
      <c r="V109" s="11"/>
      <c r="W109" s="11"/>
      <c r="X109" s="11"/>
      <c r="Y109" s="11"/>
      <c r="Z109" s="11"/>
    </row>
    <row r="110" spans="1:26" ht="15.75" customHeight="1">
      <c r="A110" s="11"/>
      <c r="B110" s="26"/>
      <c r="C110" s="31"/>
      <c r="D110" s="31"/>
      <c r="E110" s="31"/>
      <c r="F110" s="31"/>
      <c r="G110" s="31"/>
      <c r="H110" s="32">
        <f t="shared" si="8"/>
        <v>0</v>
      </c>
      <c r="I110" s="11"/>
      <c r="J110" s="11"/>
      <c r="K110" s="11"/>
      <c r="L110" s="11"/>
      <c r="M110" s="11"/>
      <c r="N110" s="11"/>
      <c r="O110" s="11"/>
      <c r="P110" s="11"/>
      <c r="Q110" s="11"/>
      <c r="R110" s="11"/>
      <c r="S110" s="11"/>
      <c r="T110" s="11"/>
      <c r="U110" s="11"/>
      <c r="V110" s="11"/>
      <c r="W110" s="11"/>
      <c r="X110" s="11"/>
      <c r="Y110" s="11"/>
      <c r="Z110" s="11"/>
    </row>
    <row r="111" spans="1:26" ht="15.75" customHeight="1">
      <c r="A111" s="11"/>
      <c r="B111" s="26"/>
      <c r="C111" s="31"/>
      <c r="D111" s="31"/>
      <c r="E111" s="31"/>
      <c r="F111" s="31"/>
      <c r="G111" s="31"/>
      <c r="H111" s="32">
        <f t="shared" si="8"/>
        <v>0</v>
      </c>
      <c r="I111" s="11"/>
      <c r="J111" s="11"/>
      <c r="K111" s="11"/>
      <c r="L111" s="11"/>
      <c r="M111" s="11"/>
      <c r="N111" s="11"/>
      <c r="O111" s="11"/>
      <c r="P111" s="11"/>
      <c r="Q111" s="11"/>
      <c r="R111" s="11"/>
      <c r="S111" s="11"/>
      <c r="T111" s="11"/>
      <c r="U111" s="11"/>
      <c r="V111" s="11"/>
      <c r="W111" s="11"/>
      <c r="X111" s="11"/>
      <c r="Y111" s="11"/>
      <c r="Z111" s="11"/>
    </row>
    <row r="112" spans="1:26" ht="15.75" customHeight="1">
      <c r="A112" s="11"/>
      <c r="B112" s="26"/>
      <c r="C112" s="31"/>
      <c r="D112" s="31"/>
      <c r="E112" s="31"/>
      <c r="F112" s="31"/>
      <c r="G112" s="31"/>
      <c r="H112" s="32">
        <f t="shared" si="8"/>
        <v>0</v>
      </c>
      <c r="I112" s="11"/>
      <c r="J112" s="11"/>
      <c r="K112" s="11"/>
      <c r="L112" s="11"/>
      <c r="M112" s="11"/>
      <c r="N112" s="11"/>
      <c r="O112" s="11"/>
      <c r="P112" s="11"/>
      <c r="Q112" s="11"/>
      <c r="R112" s="11"/>
      <c r="S112" s="11"/>
      <c r="T112" s="11"/>
      <c r="U112" s="11"/>
      <c r="V112" s="11"/>
      <c r="W112" s="11"/>
      <c r="X112" s="11"/>
      <c r="Y112" s="11"/>
      <c r="Z112" s="11"/>
    </row>
    <row r="113" spans="1:26" ht="15.75" customHeight="1">
      <c r="A113" s="11"/>
      <c r="B113" s="26"/>
      <c r="C113" s="31"/>
      <c r="D113" s="31"/>
      <c r="E113" s="31"/>
      <c r="F113" s="31"/>
      <c r="G113" s="31"/>
      <c r="H113" s="32">
        <f t="shared" si="8"/>
        <v>0</v>
      </c>
      <c r="I113" s="11"/>
      <c r="J113" s="11"/>
      <c r="K113" s="11"/>
      <c r="L113" s="11"/>
      <c r="M113" s="11"/>
      <c r="N113" s="11"/>
      <c r="O113" s="11"/>
      <c r="P113" s="11"/>
      <c r="Q113" s="11"/>
      <c r="R113" s="11"/>
      <c r="S113" s="11"/>
      <c r="T113" s="11"/>
      <c r="U113" s="11"/>
      <c r="V113" s="11"/>
      <c r="W113" s="11"/>
      <c r="X113" s="11"/>
      <c r="Y113" s="11"/>
      <c r="Z113" s="11"/>
    </row>
    <row r="114" spans="1:26" ht="15.75" customHeight="1">
      <c r="A114" s="11"/>
      <c r="B114" s="26"/>
      <c r="C114" s="31"/>
      <c r="D114" s="31"/>
      <c r="E114" s="31"/>
      <c r="F114" s="31"/>
      <c r="G114" s="31"/>
      <c r="H114" s="32">
        <f t="shared" si="8"/>
        <v>0</v>
      </c>
      <c r="I114" s="11"/>
      <c r="J114" s="11"/>
      <c r="K114" s="11"/>
      <c r="L114" s="11"/>
      <c r="M114" s="11"/>
      <c r="N114" s="11"/>
      <c r="O114" s="11"/>
      <c r="P114" s="11"/>
      <c r="Q114" s="11"/>
      <c r="R114" s="11"/>
      <c r="S114" s="11"/>
      <c r="T114" s="11"/>
      <c r="U114" s="11"/>
      <c r="V114" s="11"/>
      <c r="W114" s="11"/>
      <c r="X114" s="11"/>
      <c r="Y114" s="11"/>
      <c r="Z114" s="11"/>
    </row>
    <row r="115" spans="1:26" ht="15.75" customHeight="1">
      <c r="A115" s="11"/>
      <c r="B115" s="34" t="s">
        <v>91</v>
      </c>
      <c r="C115" s="35">
        <f t="shared" ref="C115:H115" si="9">SUM(C87:C114)</f>
        <v>109400</v>
      </c>
      <c r="D115" s="35">
        <f t="shared" si="9"/>
        <v>69400</v>
      </c>
      <c r="E115" s="35">
        <f t="shared" si="9"/>
        <v>69400</v>
      </c>
      <c r="F115" s="35">
        <f t="shared" si="9"/>
        <v>69400</v>
      </c>
      <c r="G115" s="35">
        <f t="shared" si="9"/>
        <v>69400</v>
      </c>
      <c r="H115" s="35">
        <f t="shared" si="9"/>
        <v>387000</v>
      </c>
      <c r="I115" s="11"/>
      <c r="J115" s="11"/>
      <c r="K115" s="11"/>
      <c r="L115" s="11"/>
      <c r="M115" s="11"/>
      <c r="N115" s="11"/>
      <c r="O115" s="11"/>
      <c r="P115" s="11"/>
      <c r="Q115" s="11"/>
      <c r="R115" s="11"/>
      <c r="S115" s="11"/>
      <c r="T115" s="11"/>
      <c r="U115" s="11"/>
      <c r="V115" s="11"/>
      <c r="W115" s="11"/>
      <c r="X115" s="11"/>
      <c r="Y115" s="11"/>
      <c r="Z115" s="11"/>
    </row>
    <row r="116" spans="1:2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5.75" customHeight="1">
      <c r="A117" s="24" t="s">
        <v>92</v>
      </c>
      <c r="B117" s="11"/>
      <c r="C117" s="19" t="s">
        <v>18</v>
      </c>
      <c r="D117" s="19" t="s">
        <v>19</v>
      </c>
      <c r="E117" s="19" t="s">
        <v>20</v>
      </c>
      <c r="F117" s="19" t="s">
        <v>21</v>
      </c>
      <c r="G117" s="19" t="s">
        <v>22</v>
      </c>
      <c r="H117" s="19" t="s">
        <v>23</v>
      </c>
      <c r="I117" s="11"/>
      <c r="J117" s="11"/>
      <c r="K117" s="11"/>
      <c r="L117" s="11"/>
      <c r="M117" s="11"/>
      <c r="N117" s="11"/>
      <c r="O117" s="11"/>
      <c r="P117" s="11"/>
      <c r="Q117" s="11"/>
      <c r="R117" s="11"/>
      <c r="S117" s="11"/>
      <c r="T117" s="11"/>
      <c r="U117" s="11"/>
      <c r="V117" s="11"/>
      <c r="W117" s="11"/>
      <c r="X117" s="11"/>
      <c r="Y117" s="11"/>
      <c r="Z117" s="11"/>
    </row>
    <row r="118" spans="1:26" ht="15.75" customHeight="1">
      <c r="A118" s="38" t="s">
        <v>93</v>
      </c>
      <c r="B118" s="39" t="s">
        <v>94</v>
      </c>
      <c r="C118" s="32">
        <f t="shared" ref="C118:G118" si="10">C68</f>
        <v>1162678.737624523</v>
      </c>
      <c r="D118" s="32">
        <f t="shared" si="10"/>
        <v>1168102.3123770137</v>
      </c>
      <c r="E118" s="32">
        <f t="shared" si="10"/>
        <v>1190464.358624554</v>
      </c>
      <c r="F118" s="32">
        <f t="shared" si="10"/>
        <v>1213273.6457970452</v>
      </c>
      <c r="G118" s="32">
        <f t="shared" si="10"/>
        <v>1236539.1187129854</v>
      </c>
      <c r="H118" s="32">
        <f t="shared" ref="H118:H120" si="11">SUM(C118:G118)</f>
        <v>5971058.1731361207</v>
      </c>
      <c r="I118" s="11"/>
      <c r="J118" s="11"/>
      <c r="K118" s="11"/>
      <c r="L118" s="11"/>
      <c r="M118" s="11"/>
      <c r="N118" s="11"/>
      <c r="O118" s="11"/>
      <c r="P118" s="11"/>
      <c r="Q118" s="11"/>
      <c r="R118" s="11"/>
      <c r="S118" s="11"/>
      <c r="T118" s="11"/>
      <c r="U118" s="11"/>
      <c r="V118" s="11"/>
      <c r="W118" s="11"/>
      <c r="X118" s="11"/>
      <c r="Y118" s="11"/>
      <c r="Z118" s="11"/>
    </row>
    <row r="119" spans="1:26" ht="15.75" customHeight="1">
      <c r="A119" s="11"/>
      <c r="B119" s="39" t="s">
        <v>95</v>
      </c>
      <c r="C119" s="32">
        <f t="shared" ref="C119:G119" si="12">C84</f>
        <v>156100</v>
      </c>
      <c r="D119" s="32">
        <f t="shared" si="12"/>
        <v>156100</v>
      </c>
      <c r="E119" s="32">
        <f t="shared" si="12"/>
        <v>156100</v>
      </c>
      <c r="F119" s="32">
        <f t="shared" si="12"/>
        <v>156100</v>
      </c>
      <c r="G119" s="32">
        <f t="shared" si="12"/>
        <v>156100</v>
      </c>
      <c r="H119" s="32">
        <f t="shared" si="11"/>
        <v>780500</v>
      </c>
      <c r="I119" s="11"/>
      <c r="J119" s="11"/>
      <c r="K119" s="11"/>
      <c r="L119" s="11"/>
      <c r="M119" s="11"/>
      <c r="N119" s="11"/>
      <c r="O119" s="11"/>
      <c r="P119" s="11"/>
      <c r="Q119" s="11"/>
      <c r="R119" s="11"/>
      <c r="S119" s="11"/>
      <c r="T119" s="11"/>
      <c r="U119" s="11"/>
      <c r="V119" s="11"/>
      <c r="W119" s="11"/>
      <c r="X119" s="11"/>
      <c r="Y119" s="11"/>
      <c r="Z119" s="11"/>
    </row>
    <row r="120" spans="1:26" ht="15.75" customHeight="1">
      <c r="A120" s="11"/>
      <c r="B120" s="39" t="s">
        <v>96</v>
      </c>
      <c r="C120" s="32">
        <f t="shared" ref="C120:G120" si="13">C115</f>
        <v>109400</v>
      </c>
      <c r="D120" s="32">
        <f t="shared" si="13"/>
        <v>69400</v>
      </c>
      <c r="E120" s="32">
        <f t="shared" si="13"/>
        <v>69400</v>
      </c>
      <c r="F120" s="32">
        <f t="shared" si="13"/>
        <v>69400</v>
      </c>
      <c r="G120" s="32">
        <f t="shared" si="13"/>
        <v>69400</v>
      </c>
      <c r="H120" s="32">
        <f t="shared" si="11"/>
        <v>387000</v>
      </c>
      <c r="I120" s="11"/>
      <c r="J120" s="11"/>
      <c r="K120" s="11"/>
      <c r="L120" s="11"/>
      <c r="M120" s="11"/>
      <c r="N120" s="11"/>
      <c r="O120" s="11"/>
      <c r="P120" s="11"/>
      <c r="Q120" s="11"/>
      <c r="R120" s="11"/>
      <c r="S120" s="11"/>
      <c r="T120" s="11"/>
      <c r="U120" s="11"/>
      <c r="V120" s="11"/>
      <c r="W120" s="11"/>
      <c r="X120" s="11"/>
      <c r="Y120" s="11"/>
      <c r="Z120" s="11"/>
    </row>
    <row r="121" spans="1:26" ht="15.75" customHeight="1">
      <c r="A121" s="11"/>
      <c r="B121" s="34" t="s">
        <v>97</v>
      </c>
      <c r="C121" s="35">
        <f t="shared" ref="C121:H121" si="14">SUM(C118:C120)</f>
        <v>1428178.737624523</v>
      </c>
      <c r="D121" s="35">
        <f t="shared" si="14"/>
        <v>1393602.3123770137</v>
      </c>
      <c r="E121" s="35">
        <f t="shared" si="14"/>
        <v>1415964.358624554</v>
      </c>
      <c r="F121" s="35">
        <f t="shared" si="14"/>
        <v>1438773.6457970452</v>
      </c>
      <c r="G121" s="35">
        <f t="shared" si="14"/>
        <v>1462039.1187129854</v>
      </c>
      <c r="H121" s="35">
        <f t="shared" si="14"/>
        <v>7138558.1731361207</v>
      </c>
      <c r="I121" s="11"/>
      <c r="J121" s="11"/>
      <c r="K121" s="11"/>
      <c r="L121" s="11"/>
      <c r="M121" s="11"/>
      <c r="N121" s="11"/>
      <c r="O121" s="11"/>
      <c r="P121" s="11"/>
      <c r="Q121" s="11"/>
      <c r="R121" s="11"/>
      <c r="S121" s="11"/>
      <c r="T121" s="11"/>
      <c r="U121" s="11"/>
      <c r="V121" s="11"/>
      <c r="W121" s="11"/>
      <c r="X121" s="11"/>
      <c r="Y121" s="11"/>
      <c r="Z121" s="11"/>
    </row>
    <row r="122" spans="1:26"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5.75" customHeight="1">
      <c r="A123" s="38" t="s">
        <v>98</v>
      </c>
      <c r="B123" s="29" t="s">
        <v>99</v>
      </c>
      <c r="C123" s="19" t="s">
        <v>18</v>
      </c>
      <c r="D123" s="19" t="s">
        <v>19</v>
      </c>
      <c r="E123" s="19" t="s">
        <v>20</v>
      </c>
      <c r="F123" s="19" t="s">
        <v>21</v>
      </c>
      <c r="G123" s="19" t="s">
        <v>22</v>
      </c>
      <c r="H123" s="19" t="s">
        <v>23</v>
      </c>
      <c r="I123" s="11"/>
      <c r="J123" s="11"/>
      <c r="K123" s="11"/>
      <c r="L123" s="11"/>
      <c r="M123" s="11"/>
      <c r="N123" s="11"/>
      <c r="O123" s="11"/>
      <c r="P123" s="11"/>
      <c r="Q123" s="11"/>
      <c r="R123" s="11"/>
      <c r="S123" s="11"/>
      <c r="T123" s="11"/>
      <c r="U123" s="11"/>
      <c r="V123" s="11"/>
      <c r="W123" s="11"/>
      <c r="X123" s="11"/>
      <c r="Y123" s="11"/>
      <c r="Z123" s="11"/>
    </row>
    <row r="124" spans="1:26" ht="15.75" customHeight="1">
      <c r="A124" s="11"/>
      <c r="B124" s="40" t="s">
        <v>98</v>
      </c>
      <c r="C124" s="41">
        <v>1496000</v>
      </c>
      <c r="D124" s="41">
        <v>1540000</v>
      </c>
      <c r="E124" s="41">
        <v>1580000</v>
      </c>
      <c r="F124" s="41">
        <v>1630000</v>
      </c>
      <c r="G124" s="41">
        <v>1680000</v>
      </c>
      <c r="H124" s="42">
        <f>SUM(C124:G124)</f>
        <v>7926000</v>
      </c>
      <c r="I124" s="11"/>
      <c r="J124" s="11"/>
      <c r="K124" s="11"/>
      <c r="L124" s="11"/>
      <c r="M124" s="11"/>
      <c r="N124" s="11"/>
      <c r="O124" s="11"/>
      <c r="P124" s="11"/>
      <c r="Q124" s="11"/>
      <c r="R124" s="11"/>
      <c r="S124" s="11"/>
      <c r="T124" s="11"/>
      <c r="U124" s="11"/>
      <c r="V124" s="11"/>
      <c r="W124" s="11"/>
      <c r="X124" s="11"/>
      <c r="Y124" s="11"/>
      <c r="Z124" s="11"/>
    </row>
    <row r="125" spans="1:26"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5.75" customHeight="1">
      <c r="A126" s="11"/>
      <c r="B126" s="11"/>
      <c r="C126" s="19" t="s">
        <v>18</v>
      </c>
      <c r="D126" s="19" t="s">
        <v>19</v>
      </c>
      <c r="E126" s="19" t="s">
        <v>20</v>
      </c>
      <c r="F126" s="19" t="s">
        <v>21</v>
      </c>
      <c r="G126" s="19" t="s">
        <v>22</v>
      </c>
      <c r="H126" s="19" t="s">
        <v>23</v>
      </c>
      <c r="I126" s="11"/>
      <c r="J126" s="11"/>
      <c r="K126" s="11"/>
      <c r="L126" s="11"/>
      <c r="M126" s="11"/>
      <c r="N126" s="11"/>
      <c r="O126" s="11"/>
      <c r="P126" s="11"/>
      <c r="Q126" s="11"/>
      <c r="R126" s="11"/>
      <c r="S126" s="11"/>
      <c r="T126" s="11"/>
      <c r="U126" s="11"/>
      <c r="V126" s="11"/>
      <c r="W126" s="11"/>
      <c r="X126" s="11"/>
      <c r="Y126" s="11"/>
      <c r="Z126" s="11"/>
    </row>
    <row r="127" spans="1:26" ht="15.75" customHeight="1">
      <c r="A127" s="38" t="s">
        <v>100</v>
      </c>
      <c r="B127" s="39" t="s">
        <v>101</v>
      </c>
      <c r="C127" s="35">
        <f t="shared" ref="C127:H127" si="15">C124-C121</f>
        <v>67821.262375477003</v>
      </c>
      <c r="D127" s="35">
        <f t="shared" si="15"/>
        <v>146397.68762298627</v>
      </c>
      <c r="E127" s="35">
        <f t="shared" si="15"/>
        <v>164035.64137544599</v>
      </c>
      <c r="F127" s="35">
        <f t="shared" si="15"/>
        <v>191226.3542029548</v>
      </c>
      <c r="G127" s="35">
        <f t="shared" si="15"/>
        <v>217960.88128701458</v>
      </c>
      <c r="H127" s="35">
        <f t="shared" si="15"/>
        <v>787441.82686387934</v>
      </c>
      <c r="I127" s="11"/>
      <c r="J127" s="11"/>
      <c r="K127" s="11"/>
      <c r="L127" s="11"/>
      <c r="M127" s="11"/>
      <c r="N127" s="11"/>
      <c r="O127" s="11"/>
      <c r="P127" s="11"/>
      <c r="Q127" s="11"/>
      <c r="R127" s="11"/>
      <c r="S127" s="11"/>
      <c r="T127" s="11"/>
      <c r="U127" s="11"/>
      <c r="V127" s="11"/>
      <c r="W127" s="11"/>
      <c r="X127" s="11"/>
      <c r="Y127" s="11"/>
      <c r="Z127" s="11"/>
    </row>
    <row r="128" spans="1:26" ht="15.75" customHeight="1">
      <c r="A128" s="11"/>
      <c r="B128" s="39" t="s">
        <v>102</v>
      </c>
      <c r="C128" s="43">
        <f t="shared" ref="C128:H128" si="16">C127/C124</f>
        <v>4.5335068432805485E-2</v>
      </c>
      <c r="D128" s="43">
        <f t="shared" si="16"/>
        <v>9.506343352141966E-2</v>
      </c>
      <c r="E128" s="43">
        <f t="shared" si="16"/>
        <v>0.10382002618699114</v>
      </c>
      <c r="F128" s="43">
        <f t="shared" si="16"/>
        <v>0.11731678171960418</v>
      </c>
      <c r="G128" s="43">
        <f t="shared" si="16"/>
        <v>0.12973861981369916</v>
      </c>
      <c r="H128" s="43">
        <f t="shared" si="16"/>
        <v>9.9349208536951727E-2</v>
      </c>
      <c r="I128" s="11"/>
      <c r="J128" s="11"/>
      <c r="K128" s="11"/>
      <c r="L128" s="11"/>
      <c r="M128" s="11"/>
      <c r="N128" s="11"/>
      <c r="O128" s="11"/>
      <c r="P128" s="11"/>
      <c r="Q128" s="11"/>
      <c r="R128" s="11"/>
      <c r="S128" s="11"/>
      <c r="T128" s="11"/>
      <c r="U128" s="11"/>
      <c r="V128" s="11"/>
      <c r="W128" s="11"/>
      <c r="X128" s="11"/>
      <c r="Y128" s="11"/>
      <c r="Z128" s="11"/>
    </row>
    <row r="129" spans="1:26" ht="15.75" customHeight="1">
      <c r="A129" s="11"/>
      <c r="B129" s="11"/>
      <c r="C129" s="44"/>
      <c r="D129" s="44"/>
      <c r="E129" s="44"/>
      <c r="F129" s="44"/>
      <c r="G129" s="44"/>
      <c r="H129" s="44"/>
      <c r="I129" s="11"/>
      <c r="J129" s="11"/>
      <c r="K129" s="11"/>
      <c r="L129" s="11"/>
      <c r="M129" s="11"/>
      <c r="N129" s="11"/>
      <c r="O129" s="11"/>
      <c r="P129" s="11"/>
      <c r="Q129" s="11"/>
      <c r="R129" s="11"/>
      <c r="S129" s="11"/>
      <c r="T129" s="11"/>
      <c r="U129" s="11"/>
      <c r="V129" s="11"/>
      <c r="W129" s="11"/>
      <c r="X129" s="11"/>
      <c r="Y129" s="11"/>
      <c r="Z129" s="11"/>
    </row>
    <row r="130" spans="1:26" ht="15.75" customHeight="1">
      <c r="A130" s="11"/>
      <c r="B130" s="11"/>
      <c r="C130" s="44"/>
      <c r="D130" s="44"/>
      <c r="E130" s="44"/>
      <c r="F130" s="44"/>
      <c r="G130" s="44"/>
      <c r="H130" s="44"/>
      <c r="I130" s="11"/>
      <c r="J130" s="11"/>
      <c r="K130" s="11"/>
      <c r="L130" s="11"/>
      <c r="M130" s="11"/>
      <c r="N130" s="11"/>
      <c r="O130" s="11"/>
      <c r="P130" s="11"/>
      <c r="Q130" s="11"/>
      <c r="R130" s="11"/>
      <c r="S130" s="11"/>
      <c r="T130" s="11"/>
      <c r="U130" s="11"/>
      <c r="V130" s="11"/>
      <c r="W130" s="11"/>
      <c r="X130" s="11"/>
      <c r="Y130" s="11"/>
      <c r="Z130" s="11"/>
    </row>
    <row r="131" spans="1:26" ht="15.75" customHeight="1">
      <c r="A131" s="23"/>
      <c r="B131" s="44"/>
      <c r="C131" s="44"/>
      <c r="D131" s="44"/>
      <c r="E131" s="44"/>
      <c r="F131" s="44"/>
      <c r="G131" s="44"/>
      <c r="H131" s="44"/>
      <c r="I131" s="11"/>
      <c r="J131" s="11"/>
      <c r="K131" s="11"/>
      <c r="L131" s="11"/>
      <c r="M131" s="11"/>
      <c r="N131" s="11"/>
      <c r="O131" s="11"/>
      <c r="P131" s="11"/>
      <c r="Q131" s="11"/>
      <c r="R131" s="11"/>
      <c r="S131" s="11"/>
      <c r="T131" s="11"/>
      <c r="U131" s="11"/>
      <c r="V131" s="11"/>
      <c r="W131" s="11"/>
      <c r="X131" s="11"/>
      <c r="Y131" s="11"/>
      <c r="Z131" s="11"/>
    </row>
    <row r="132" spans="1:26" ht="15.75" customHeight="1">
      <c r="A132" s="11"/>
      <c r="B132" s="11"/>
      <c r="C132" s="44"/>
      <c r="D132" s="44"/>
      <c r="E132" s="44"/>
      <c r="F132" s="44"/>
      <c r="G132" s="44"/>
      <c r="H132" s="44"/>
      <c r="I132" s="11"/>
      <c r="J132" s="11"/>
      <c r="K132" s="11"/>
      <c r="L132" s="11"/>
      <c r="M132" s="11"/>
      <c r="N132" s="11"/>
      <c r="O132" s="11"/>
      <c r="P132" s="11"/>
      <c r="Q132" s="11"/>
      <c r="R132" s="11"/>
      <c r="S132" s="11"/>
      <c r="T132" s="11"/>
      <c r="U132" s="11"/>
      <c r="V132" s="11"/>
      <c r="W132" s="11"/>
      <c r="X132" s="11"/>
      <c r="Y132" s="11"/>
      <c r="Z132" s="11"/>
    </row>
    <row r="133" spans="1:26"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49.5" customHeight="1">
      <c r="A134" s="24" t="s">
        <v>103</v>
      </c>
      <c r="B134" s="11"/>
      <c r="C134" s="19" t="s">
        <v>104</v>
      </c>
      <c r="D134" s="19" t="s">
        <v>105</v>
      </c>
      <c r="E134" s="19" t="s">
        <v>106</v>
      </c>
      <c r="F134" s="19" t="s">
        <v>107</v>
      </c>
      <c r="G134" s="19" t="s">
        <v>108</v>
      </c>
      <c r="H134" s="19" t="s">
        <v>23</v>
      </c>
      <c r="I134" s="11"/>
      <c r="J134" s="11"/>
      <c r="K134" s="11"/>
      <c r="L134" s="11"/>
      <c r="M134" s="11"/>
      <c r="N134" s="11"/>
      <c r="O134" s="11"/>
      <c r="P134" s="11"/>
      <c r="Q134" s="11"/>
      <c r="R134" s="11"/>
      <c r="S134" s="11"/>
      <c r="T134" s="11"/>
      <c r="U134" s="11"/>
      <c r="V134" s="11"/>
      <c r="W134" s="11"/>
      <c r="X134" s="11"/>
      <c r="Y134" s="11"/>
      <c r="Z134" s="11"/>
    </row>
    <row r="135" spans="1:26" ht="15.75" customHeight="1">
      <c r="A135" s="11"/>
      <c r="B135" s="45" t="s">
        <v>109</v>
      </c>
      <c r="C135" s="46">
        <f>1496*1000</f>
        <v>1496000</v>
      </c>
      <c r="D135" s="46">
        <f>1550*1000</f>
        <v>1550000</v>
      </c>
      <c r="E135" s="46">
        <f>1606*1000</f>
        <v>1606000</v>
      </c>
      <c r="F135" s="46">
        <f>1664*1000</f>
        <v>1664000</v>
      </c>
      <c r="G135" s="46">
        <f>1724*1000</f>
        <v>1724000</v>
      </c>
      <c r="H135" s="46">
        <f t="shared" ref="H135:H136" si="17">SUM(C135:G135)</f>
        <v>8040000</v>
      </c>
      <c r="I135" s="11"/>
      <c r="J135" s="11"/>
      <c r="K135" s="11"/>
      <c r="L135" s="11"/>
      <c r="M135" s="11"/>
      <c r="N135" s="11"/>
      <c r="O135" s="11"/>
      <c r="P135" s="11"/>
      <c r="Q135" s="11"/>
      <c r="R135" s="11"/>
      <c r="S135" s="11"/>
      <c r="T135" s="11"/>
      <c r="U135" s="11"/>
      <c r="V135" s="11"/>
      <c r="W135" s="11"/>
      <c r="X135" s="11"/>
      <c r="Y135" s="11"/>
      <c r="Z135" s="11"/>
    </row>
    <row r="136" spans="1:26" ht="15.75" customHeight="1">
      <c r="A136" s="11"/>
      <c r="B136" s="47" t="s">
        <v>110</v>
      </c>
      <c r="C136" s="32">
        <f t="shared" ref="C136:G136" si="18">C124</f>
        <v>1496000</v>
      </c>
      <c r="D136" s="32">
        <f t="shared" si="18"/>
        <v>1540000</v>
      </c>
      <c r="E136" s="48">
        <f t="shared" si="18"/>
        <v>1580000</v>
      </c>
      <c r="F136" s="32">
        <f t="shared" si="18"/>
        <v>1630000</v>
      </c>
      <c r="G136" s="32">
        <f t="shared" si="18"/>
        <v>1680000</v>
      </c>
      <c r="H136" s="32">
        <f t="shared" si="17"/>
        <v>7926000</v>
      </c>
      <c r="I136" s="11"/>
      <c r="J136" s="11"/>
      <c r="K136" s="11"/>
      <c r="L136" s="11"/>
      <c r="M136" s="11"/>
      <c r="N136" s="11"/>
      <c r="O136" s="11"/>
      <c r="P136" s="11"/>
      <c r="Q136" s="11"/>
      <c r="R136" s="11"/>
      <c r="S136" s="11"/>
      <c r="T136" s="11"/>
      <c r="U136" s="11"/>
      <c r="V136" s="11"/>
      <c r="W136" s="11"/>
      <c r="X136" s="11"/>
      <c r="Y136" s="11"/>
      <c r="Z136" s="11"/>
    </row>
    <row r="137" spans="1:26" ht="30" customHeight="1">
      <c r="A137" s="49" t="s">
        <v>111</v>
      </c>
      <c r="B137" s="50" t="s">
        <v>112</v>
      </c>
      <c r="C137" s="51" t="str">
        <f t="shared" ref="C137:H137" si="19">IF((C136&lt;=C135),"COMPLIANT","NON COMPLIANT")</f>
        <v>COMPLIANT</v>
      </c>
      <c r="D137" s="51" t="str">
        <f t="shared" si="19"/>
        <v>COMPLIANT</v>
      </c>
      <c r="E137" s="52" t="str">
        <f t="shared" si="19"/>
        <v>COMPLIANT</v>
      </c>
      <c r="F137" s="51" t="str">
        <f t="shared" si="19"/>
        <v>COMPLIANT</v>
      </c>
      <c r="G137" s="51" t="str">
        <f t="shared" si="19"/>
        <v>COMPLIANT</v>
      </c>
      <c r="H137" s="51" t="str">
        <f t="shared" si="19"/>
        <v>COMPLIANT</v>
      </c>
      <c r="I137" s="11"/>
      <c r="J137" s="11"/>
      <c r="K137" s="11"/>
      <c r="L137" s="11"/>
      <c r="M137" s="11"/>
      <c r="N137" s="11"/>
      <c r="O137" s="11"/>
      <c r="P137" s="11"/>
      <c r="Q137" s="11"/>
      <c r="R137" s="11"/>
      <c r="S137" s="11"/>
      <c r="T137" s="11"/>
      <c r="U137" s="11"/>
      <c r="V137" s="11"/>
      <c r="W137" s="11"/>
      <c r="X137" s="11"/>
      <c r="Y137" s="11"/>
      <c r="Z137" s="11"/>
    </row>
    <row r="138" spans="1:26"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69" customHeight="1">
      <c r="A139" s="37" t="s">
        <v>113</v>
      </c>
      <c r="B139" s="66" t="s">
        <v>114</v>
      </c>
      <c r="C139" s="54"/>
      <c r="D139" s="54"/>
      <c r="E139" s="54"/>
      <c r="F139" s="54"/>
      <c r="G139" s="54"/>
      <c r="H139" s="55"/>
      <c r="I139" s="11"/>
      <c r="J139" s="11"/>
      <c r="K139" s="11"/>
      <c r="L139" s="11"/>
      <c r="M139" s="11"/>
      <c r="N139" s="11"/>
      <c r="O139" s="11"/>
      <c r="P139" s="11"/>
      <c r="Q139" s="11"/>
      <c r="R139" s="11"/>
      <c r="S139" s="11"/>
      <c r="T139" s="11"/>
      <c r="U139" s="11"/>
      <c r="V139" s="11"/>
      <c r="W139" s="11"/>
      <c r="X139" s="11"/>
      <c r="Y139" s="11"/>
      <c r="Z139" s="11"/>
    </row>
    <row r="140" spans="1:26" ht="66" customHeight="1">
      <c r="A140" s="11"/>
      <c r="B140" s="53" t="s">
        <v>115</v>
      </c>
      <c r="C140" s="54"/>
      <c r="D140" s="54"/>
      <c r="E140" s="54"/>
      <c r="F140" s="54"/>
      <c r="G140" s="54"/>
      <c r="H140" s="55"/>
      <c r="I140" s="11"/>
      <c r="J140" s="11"/>
      <c r="K140" s="11"/>
      <c r="L140" s="11"/>
      <c r="M140" s="11"/>
      <c r="N140" s="11"/>
      <c r="O140" s="11"/>
      <c r="P140" s="11"/>
      <c r="Q140" s="11"/>
      <c r="R140" s="11"/>
      <c r="S140" s="11"/>
      <c r="T140" s="11"/>
      <c r="U140" s="11"/>
      <c r="V140" s="11"/>
      <c r="W140" s="11"/>
      <c r="X140" s="11"/>
      <c r="Y140" s="11"/>
      <c r="Z140" s="11"/>
    </row>
    <row r="141" spans="1:26" ht="66" customHeight="1">
      <c r="A141" s="11"/>
      <c r="B141" s="53" t="s">
        <v>116</v>
      </c>
      <c r="C141" s="54"/>
      <c r="D141" s="54"/>
      <c r="E141" s="54"/>
      <c r="F141" s="54"/>
      <c r="G141" s="54"/>
      <c r="H141" s="55"/>
      <c r="I141" s="11"/>
      <c r="J141" s="11"/>
      <c r="K141" s="11"/>
      <c r="L141" s="11"/>
      <c r="M141" s="11"/>
      <c r="N141" s="11"/>
      <c r="O141" s="11"/>
      <c r="P141" s="11"/>
      <c r="Q141" s="11"/>
      <c r="R141" s="11"/>
      <c r="S141" s="11"/>
      <c r="T141" s="11"/>
      <c r="U141" s="11"/>
      <c r="V141" s="11"/>
      <c r="W141" s="11"/>
      <c r="X141" s="11"/>
      <c r="Y141" s="11"/>
      <c r="Z141" s="11"/>
    </row>
    <row r="142" spans="1:26" ht="66" customHeight="1">
      <c r="A142" s="11"/>
      <c r="B142" s="53" t="s">
        <v>117</v>
      </c>
      <c r="C142" s="54"/>
      <c r="D142" s="54"/>
      <c r="E142" s="54"/>
      <c r="F142" s="54"/>
      <c r="G142" s="54"/>
      <c r="H142" s="55"/>
      <c r="I142" s="11"/>
      <c r="J142" s="11"/>
      <c r="K142" s="11"/>
      <c r="L142" s="11"/>
      <c r="M142" s="11"/>
      <c r="N142" s="11"/>
      <c r="O142" s="11"/>
      <c r="P142" s="11"/>
      <c r="Q142" s="11"/>
      <c r="R142" s="11"/>
      <c r="S142" s="11"/>
      <c r="T142" s="11"/>
      <c r="U142" s="11"/>
      <c r="V142" s="11"/>
      <c r="W142" s="11"/>
      <c r="X142" s="11"/>
      <c r="Y142" s="11"/>
      <c r="Z142" s="11"/>
    </row>
    <row r="143" spans="1:26" ht="66" customHeight="1">
      <c r="A143" s="11"/>
      <c r="B143" s="53" t="s">
        <v>118</v>
      </c>
      <c r="C143" s="54"/>
      <c r="D143" s="54"/>
      <c r="E143" s="54"/>
      <c r="F143" s="54"/>
      <c r="G143" s="54"/>
      <c r="H143" s="55"/>
      <c r="I143" s="11"/>
      <c r="J143" s="11"/>
      <c r="K143" s="11"/>
      <c r="L143" s="11"/>
      <c r="M143" s="11"/>
      <c r="N143" s="11"/>
      <c r="O143" s="11"/>
      <c r="P143" s="11"/>
      <c r="Q143" s="11"/>
      <c r="R143" s="11"/>
      <c r="S143" s="11"/>
      <c r="T143" s="11"/>
      <c r="U143" s="11"/>
      <c r="V143" s="11"/>
      <c r="W143" s="11"/>
      <c r="X143" s="11"/>
      <c r="Y143" s="11"/>
      <c r="Z143" s="11"/>
    </row>
    <row r="144" spans="1:26" ht="66" customHeight="1">
      <c r="A144" s="11"/>
      <c r="B144" s="53" t="s">
        <v>119</v>
      </c>
      <c r="C144" s="54"/>
      <c r="D144" s="54"/>
      <c r="E144" s="54"/>
      <c r="F144" s="54"/>
      <c r="G144" s="54"/>
      <c r="H144" s="55"/>
      <c r="I144" s="11"/>
      <c r="J144" s="11"/>
      <c r="K144" s="11"/>
      <c r="L144" s="11"/>
      <c r="M144" s="11"/>
      <c r="N144" s="11"/>
      <c r="O144" s="11"/>
      <c r="P144" s="11"/>
      <c r="Q144" s="11"/>
      <c r="R144" s="11"/>
      <c r="S144" s="11"/>
      <c r="T144" s="11"/>
      <c r="U144" s="11"/>
      <c r="V144" s="11"/>
      <c r="W144" s="11"/>
      <c r="X144" s="11"/>
      <c r="Y144" s="11"/>
      <c r="Z144" s="11"/>
    </row>
    <row r="145" spans="1:26" ht="66" customHeight="1">
      <c r="A145" s="11"/>
      <c r="B145" s="53" t="s">
        <v>120</v>
      </c>
      <c r="C145" s="54"/>
      <c r="D145" s="54"/>
      <c r="E145" s="54"/>
      <c r="F145" s="54"/>
      <c r="G145" s="54"/>
      <c r="H145" s="55"/>
      <c r="I145" s="11"/>
      <c r="J145" s="11"/>
      <c r="K145" s="11"/>
      <c r="L145" s="11"/>
      <c r="M145" s="11"/>
      <c r="N145" s="11"/>
      <c r="O145" s="11"/>
      <c r="P145" s="11"/>
      <c r="Q145" s="11"/>
      <c r="R145" s="11"/>
      <c r="S145" s="11"/>
      <c r="T145" s="11"/>
      <c r="U145" s="11"/>
      <c r="V145" s="11"/>
      <c r="W145" s="11"/>
      <c r="X145" s="11"/>
      <c r="Y145" s="11"/>
      <c r="Z145" s="11"/>
    </row>
    <row r="146" spans="1:26" ht="66" customHeight="1">
      <c r="A146" s="11"/>
      <c r="B146" s="53" t="s">
        <v>121</v>
      </c>
      <c r="C146" s="54"/>
      <c r="D146" s="54"/>
      <c r="E146" s="54"/>
      <c r="F146" s="54"/>
      <c r="G146" s="54"/>
      <c r="H146" s="55"/>
      <c r="I146" s="11"/>
      <c r="J146" s="11"/>
      <c r="K146" s="11"/>
      <c r="L146" s="11"/>
      <c r="M146" s="11"/>
      <c r="N146" s="11"/>
      <c r="O146" s="11"/>
      <c r="P146" s="11"/>
      <c r="Q146" s="11"/>
      <c r="R146" s="11"/>
      <c r="S146" s="11"/>
      <c r="T146" s="11"/>
      <c r="U146" s="11"/>
      <c r="V146" s="11"/>
      <c r="W146" s="11"/>
      <c r="X146" s="11"/>
      <c r="Y146" s="11"/>
      <c r="Z146" s="11"/>
    </row>
    <row r="147" spans="1:26" ht="66" customHeight="1">
      <c r="A147" s="11"/>
      <c r="B147" s="53" t="s">
        <v>122</v>
      </c>
      <c r="C147" s="54"/>
      <c r="D147" s="54"/>
      <c r="E147" s="54"/>
      <c r="F147" s="54"/>
      <c r="G147" s="54"/>
      <c r="H147" s="55"/>
      <c r="I147" s="11"/>
      <c r="J147" s="11"/>
      <c r="K147" s="11"/>
      <c r="L147" s="11"/>
      <c r="M147" s="11"/>
      <c r="N147" s="11"/>
      <c r="O147" s="11"/>
      <c r="P147" s="11"/>
      <c r="Q147" s="11"/>
      <c r="R147" s="11"/>
      <c r="S147" s="11"/>
      <c r="T147" s="11"/>
      <c r="U147" s="11"/>
      <c r="V147" s="11"/>
      <c r="W147" s="11"/>
      <c r="X147" s="11"/>
      <c r="Y147" s="11"/>
      <c r="Z147" s="11"/>
    </row>
    <row r="148" spans="1:26" ht="66" customHeight="1">
      <c r="A148" s="11"/>
      <c r="B148" s="53"/>
      <c r="C148" s="54"/>
      <c r="D148" s="54"/>
      <c r="E148" s="54"/>
      <c r="F148" s="54"/>
      <c r="G148" s="54"/>
      <c r="H148" s="55"/>
      <c r="I148" s="11"/>
      <c r="J148" s="11"/>
      <c r="K148" s="11"/>
      <c r="L148" s="11"/>
      <c r="M148" s="11"/>
      <c r="N148" s="11"/>
      <c r="O148" s="11"/>
      <c r="P148" s="11"/>
      <c r="Q148" s="11"/>
      <c r="R148" s="11"/>
      <c r="S148" s="11"/>
      <c r="T148" s="11"/>
      <c r="U148" s="11"/>
      <c r="V148" s="11"/>
      <c r="W148" s="11"/>
      <c r="X148" s="11"/>
      <c r="Y148" s="11"/>
      <c r="Z148" s="11"/>
    </row>
    <row r="149" spans="1:26" ht="66" customHeight="1">
      <c r="A149" s="11"/>
      <c r="B149" s="53"/>
      <c r="C149" s="54"/>
      <c r="D149" s="54"/>
      <c r="E149" s="54"/>
      <c r="F149" s="54"/>
      <c r="G149" s="54"/>
      <c r="H149" s="55"/>
      <c r="I149" s="11"/>
      <c r="J149" s="11"/>
      <c r="K149" s="11"/>
      <c r="L149" s="11"/>
      <c r="M149" s="11"/>
      <c r="N149" s="11"/>
      <c r="O149" s="11"/>
      <c r="P149" s="11"/>
      <c r="Q149" s="11"/>
      <c r="R149" s="11"/>
      <c r="S149" s="11"/>
      <c r="T149" s="11"/>
      <c r="U149" s="11"/>
      <c r="V149" s="11"/>
      <c r="W149" s="11"/>
      <c r="X149" s="11"/>
      <c r="Y149" s="11"/>
      <c r="Z149" s="11"/>
    </row>
    <row r="150" spans="1:26" ht="66" customHeight="1">
      <c r="A150" s="11"/>
      <c r="B150" s="53"/>
      <c r="C150" s="54"/>
      <c r="D150" s="54"/>
      <c r="E150" s="54"/>
      <c r="F150" s="54"/>
      <c r="G150" s="54"/>
      <c r="H150" s="55"/>
      <c r="I150" s="11"/>
      <c r="J150" s="11"/>
      <c r="K150" s="11"/>
      <c r="L150" s="11"/>
      <c r="M150" s="11"/>
      <c r="N150" s="11"/>
      <c r="O150" s="11"/>
      <c r="P150" s="11"/>
      <c r="Q150" s="11"/>
      <c r="R150" s="11"/>
      <c r="S150" s="11"/>
      <c r="T150" s="11"/>
      <c r="U150" s="11"/>
      <c r="V150" s="11"/>
      <c r="W150" s="11"/>
      <c r="X150" s="11"/>
      <c r="Y150" s="11"/>
      <c r="Z150" s="11"/>
    </row>
    <row r="151" spans="1:26"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5.75" customHeight="1">
      <c r="A156" s="24"/>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5.75" customHeight="1">
      <c r="A160" s="24"/>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5.75" customHeight="1">
      <c r="A161" s="37"/>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15">
    <mergeCell ref="B148:H148"/>
    <mergeCell ref="B149:H149"/>
    <mergeCell ref="B150:H150"/>
    <mergeCell ref="D3:H5"/>
    <mergeCell ref="C8:G8"/>
    <mergeCell ref="B11:G11"/>
    <mergeCell ref="B139:H139"/>
    <mergeCell ref="B140:H140"/>
    <mergeCell ref="B141:H141"/>
    <mergeCell ref="B142:H142"/>
    <mergeCell ref="B143:H143"/>
    <mergeCell ref="B144:H144"/>
    <mergeCell ref="B145:H145"/>
    <mergeCell ref="B146:H146"/>
    <mergeCell ref="B147:H147"/>
  </mergeCells>
  <conditionalFormatting sqref="C137:H137">
    <cfRule type="cellIs" dxfId="1" priority="1" operator="equal">
      <formula>"NON COMPLIANT"</formula>
    </cfRule>
    <cfRule type="cellIs" dxfId="0" priority="2" operator="equal">
      <formula>"COMPLIANT"</formula>
    </cfRule>
  </conditionalFormatting>
  <pageMargins left="0.70866141732283472" right="0.70866141732283472" top="0.74803149606299213" bottom="0.74803149606299213"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 to Bidder-  READ FIRST!</vt:lpstr>
      <vt:lpstr>Commercial Schedule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Brownlow</dc:creator>
  <cp:lastModifiedBy>Shumaila Mahmood Butt</cp:lastModifiedBy>
  <dcterms:created xsi:type="dcterms:W3CDTF">2015-12-06T09:21:05Z</dcterms:created>
  <dcterms:modified xsi:type="dcterms:W3CDTF">2025-11-09T17:29:37Z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0x010100ED006C8337AA284687A3CCF8C4285AE5</vt:lpwstr>
  </property>
  <property fmtid="{D5CDD505-2E9C-101B-9397-08002B2CF9AE}" pid="3" name="MediaServiceImageTags">
    <vt:lpwstr/>
  </property>
</Properties>
</file>