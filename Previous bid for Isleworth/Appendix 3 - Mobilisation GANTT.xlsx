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My Drive\Clients 2019 KLOW\High Med - Client Folder\Draft responses\Final\"/>
    </mc:Choice>
  </mc:AlternateContent>
  <xr:revisionPtr revIDLastSave="0" documentId="13_ncr:1_{12071150-8743-4C3C-AD92-FECEA039B15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obilisation GANTT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08" i="7" l="1"/>
  <c r="B107" i="7"/>
  <c r="B106" i="7"/>
  <c r="B105" i="7"/>
  <c r="B103" i="7"/>
  <c r="H2" i="7"/>
  <c r="I2" i="7" s="1"/>
  <c r="J2" i="7" s="1"/>
  <c r="K2" i="7" s="1"/>
  <c r="L2" i="7" s="1"/>
  <c r="H3" i="7"/>
  <c r="I3" i="7" s="1"/>
  <c r="J3" i="7" s="1"/>
  <c r="K3" i="7" s="1"/>
  <c r="L3" i="7" s="1"/>
  <c r="B104" i="7" l="1"/>
  <c r="B102" i="7"/>
  <c r="M3" i="7" l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V3" i="7" s="1"/>
  <c r="AW3" i="7" s="1"/>
  <c r="AX3" i="7" s="1"/>
  <c r="AY3" i="7" s="1"/>
  <c r="AZ3" i="7" s="1"/>
  <c r="BA3" i="7" s="1"/>
  <c r="BB3" i="7" s="1"/>
  <c r="BC3" i="7" s="1"/>
  <c r="BD3" i="7" s="1"/>
  <c r="BE3" i="7" s="1"/>
  <c r="BF3" i="7" s="1"/>
  <c r="BG3" i="7" s="1"/>
  <c r="BH3" i="7" s="1"/>
  <c r="BI3" i="7" s="1"/>
  <c r="BJ3" i="7" s="1"/>
  <c r="BK3" i="7" s="1"/>
  <c r="BL3" i="7" s="1"/>
  <c r="BM3" i="7" s="1"/>
  <c r="BN3" i="7" s="1"/>
  <c r="BO3" i="7" s="1"/>
  <c r="BP3" i="7" s="1"/>
  <c r="BQ3" i="7" s="1"/>
  <c r="BR3" i="7" s="1"/>
  <c r="BS3" i="7" s="1"/>
  <c r="BT3" i="7" s="1"/>
  <c r="BU3" i="7" s="1"/>
  <c r="BV3" i="7" s="1"/>
  <c r="BW3" i="7" s="1"/>
  <c r="BX3" i="7" s="1"/>
  <c r="BY3" i="7" s="1"/>
  <c r="BZ3" i="7" s="1"/>
  <c r="CA3" i="7" s="1"/>
  <c r="CB3" i="7" s="1"/>
  <c r="CC3" i="7" s="1"/>
  <c r="CD3" i="7" s="1"/>
  <c r="CE3" i="7" s="1"/>
  <c r="CF3" i="7" s="1"/>
  <c r="CG3" i="7" s="1"/>
  <c r="CH3" i="7" s="1"/>
  <c r="CI3" i="7" s="1"/>
  <c r="CJ3" i="7" s="1"/>
  <c r="CK3" i="7" s="1"/>
  <c r="CL3" i="7" s="1"/>
  <c r="CM3" i="7" s="1"/>
  <c r="CN3" i="7" s="1"/>
  <c r="CO3" i="7" s="1"/>
  <c r="CP3" i="7" s="1"/>
  <c r="CQ3" i="7" s="1"/>
  <c r="CR3" i="7" s="1"/>
  <c r="CS3" i="7" s="1"/>
  <c r="CT3" i="7" s="1"/>
  <c r="CU3" i="7" s="1"/>
  <c r="CV3" i="7" s="1"/>
  <c r="CW3" i="7" s="1"/>
  <c r="CX3" i="7" s="1"/>
  <c r="CY3" i="7" s="1"/>
  <c r="CZ3" i="7" s="1"/>
  <c r="DA3" i="7" s="1"/>
  <c r="DB3" i="7" s="1"/>
  <c r="DC3" i="7" s="1"/>
  <c r="DD3" i="7" s="1"/>
  <c r="DE3" i="7" s="1"/>
  <c r="DF3" i="7" s="1"/>
  <c r="DG3" i="7" s="1"/>
  <c r="DH3" i="7" s="1"/>
  <c r="DI3" i="7" s="1"/>
  <c r="DJ3" i="7" s="1"/>
  <c r="DK3" i="7" s="1"/>
  <c r="DL3" i="7" s="1"/>
  <c r="DM3" i="7" s="1"/>
  <c r="DN3" i="7" s="1"/>
  <c r="DO3" i="7" s="1"/>
  <c r="DP3" i="7" s="1"/>
  <c r="DQ3" i="7" s="1"/>
  <c r="DR3" i="7" s="1"/>
  <c r="DS3" i="7" s="1"/>
  <c r="DT3" i="7" s="1"/>
  <c r="DU3" i="7" s="1"/>
  <c r="DV3" i="7" s="1"/>
  <c r="DW3" i="7" s="1"/>
  <c r="DX3" i="7" s="1"/>
  <c r="DY3" i="7" s="1"/>
  <c r="DZ3" i="7" s="1"/>
  <c r="EA3" i="7" s="1"/>
  <c r="EB3" i="7" s="1"/>
  <c r="M2" i="7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CE2" i="7" s="1"/>
  <c r="CF2" i="7" s="1"/>
  <c r="CG2" i="7" s="1"/>
  <c r="CH2" i="7" s="1"/>
  <c r="CI2" i="7" s="1"/>
  <c r="CJ2" i="7" s="1"/>
  <c r="CK2" i="7" s="1"/>
  <c r="CL2" i="7" s="1"/>
  <c r="CM2" i="7" s="1"/>
  <c r="CN2" i="7" s="1"/>
  <c r="CO2" i="7" s="1"/>
  <c r="CP2" i="7" s="1"/>
  <c r="CQ2" i="7" s="1"/>
  <c r="CR2" i="7" s="1"/>
  <c r="CS2" i="7" s="1"/>
  <c r="CT2" i="7" s="1"/>
  <c r="CU2" i="7" s="1"/>
  <c r="CV2" i="7" s="1"/>
  <c r="CW2" i="7" s="1"/>
  <c r="CX2" i="7" s="1"/>
  <c r="CY2" i="7" s="1"/>
  <c r="CZ2" i="7" s="1"/>
  <c r="DA2" i="7" s="1"/>
  <c r="DB2" i="7" s="1"/>
  <c r="DC2" i="7" s="1"/>
  <c r="DD2" i="7" s="1"/>
  <c r="DE2" i="7" s="1"/>
  <c r="DF2" i="7" s="1"/>
  <c r="DG2" i="7" s="1"/>
  <c r="DH2" i="7" s="1"/>
  <c r="DI2" i="7" s="1"/>
  <c r="DJ2" i="7" s="1"/>
  <c r="DK2" i="7" s="1"/>
  <c r="DL2" i="7" s="1"/>
  <c r="DM2" i="7" s="1"/>
  <c r="DN2" i="7" s="1"/>
  <c r="DO2" i="7" s="1"/>
  <c r="DP2" i="7" s="1"/>
  <c r="DQ2" i="7" s="1"/>
  <c r="DR2" i="7" s="1"/>
  <c r="DS2" i="7" s="1"/>
  <c r="DT2" i="7" s="1"/>
  <c r="DU2" i="7" s="1"/>
  <c r="DV2" i="7" s="1"/>
  <c r="DW2" i="7" s="1"/>
  <c r="DX2" i="7" s="1"/>
  <c r="DY2" i="7" s="1"/>
  <c r="DZ2" i="7" s="1"/>
  <c r="EA2" i="7" s="1"/>
  <c r="EB2" i="7" s="1"/>
  <c r="B1" i="7"/>
</calcChain>
</file>

<file path=xl/sharedStrings.xml><?xml version="1.0" encoding="utf-8"?>
<sst xmlns="http://schemas.openxmlformats.org/spreadsheetml/2006/main" count="294" uniqueCount="227">
  <si>
    <t>Owner</t>
  </si>
  <si>
    <t>Start</t>
  </si>
  <si>
    <t>Start Date:</t>
  </si>
  <si>
    <t>End Date:</t>
  </si>
  <si>
    <t>Complete by</t>
  </si>
  <si>
    <t>TASK</t>
  </si>
  <si>
    <t>1.1</t>
  </si>
  <si>
    <t>1.2</t>
  </si>
  <si>
    <t>1.3</t>
  </si>
  <si>
    <t>1.4</t>
  </si>
  <si>
    <t>PROJECT TIMESCALES</t>
  </si>
  <si>
    <t>2.1</t>
  </si>
  <si>
    <t>2.2</t>
  </si>
  <si>
    <t>2.3</t>
  </si>
  <si>
    <t>2.5</t>
  </si>
  <si>
    <t>2.6</t>
  </si>
  <si>
    <t>3.1</t>
  </si>
  <si>
    <t>3.4</t>
  </si>
  <si>
    <t>3.6</t>
  </si>
  <si>
    <t>4.1</t>
  </si>
  <si>
    <t>4.2</t>
  </si>
  <si>
    <t>4.3</t>
  </si>
  <si>
    <t>4.4</t>
  </si>
  <si>
    <t>4.5</t>
  </si>
  <si>
    <t>4.6</t>
  </si>
  <si>
    <t>5.1</t>
  </si>
  <si>
    <t>5.2</t>
  </si>
  <si>
    <t>5.3</t>
  </si>
  <si>
    <t>5.4</t>
  </si>
  <si>
    <t>2.7</t>
  </si>
  <si>
    <t>6.1</t>
  </si>
  <si>
    <t>6.2</t>
  </si>
  <si>
    <t>6.3</t>
  </si>
  <si>
    <t>6.4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</si>
  <si>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</si>
  <si>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</si>
  <si>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</si>
  <si>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</si>
  <si>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</si>
  <si>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</si>
  <si>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</si>
  <si>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</si>
  <si>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</si>
  <si>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</si>
  <si>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</si>
  <si>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</si>
  <si>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</si>
  <si>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Close of Standstill</t>
  </si>
  <si>
    <t>Contract Award</t>
  </si>
  <si>
    <t>Contract Due Diligence</t>
  </si>
  <si>
    <t>Budgets agreed</t>
  </si>
  <si>
    <t>Contract Completion</t>
  </si>
  <si>
    <t>COMMISSIONER</t>
  </si>
  <si>
    <t>1.5</t>
  </si>
  <si>
    <t>1.6</t>
  </si>
  <si>
    <t>Staff training on any changes</t>
  </si>
  <si>
    <t>Update and confirm Employee contracts</t>
  </si>
  <si>
    <t>Conduct Training Needs Analysis</t>
  </si>
  <si>
    <t>Operational Readiness Test</t>
  </si>
  <si>
    <t>Weekly Mobilisation Review (internal)</t>
  </si>
  <si>
    <t>SMT monthly performance meeting</t>
  </si>
  <si>
    <t>Commissioner validate Business as usual</t>
  </si>
  <si>
    <t>Update local Business Continuity &amp; Disaster Recovery Plan</t>
  </si>
  <si>
    <t>4.7</t>
  </si>
  <si>
    <t>4.8</t>
  </si>
  <si>
    <t>4.9</t>
  </si>
  <si>
    <t>4.11</t>
  </si>
  <si>
    <t>4.12</t>
  </si>
  <si>
    <t>Completed</t>
  </si>
  <si>
    <t>1</t>
  </si>
  <si>
    <t>2</t>
  </si>
  <si>
    <t>3</t>
  </si>
  <si>
    <t xml:space="preserve">Press Release, Social Media &amp; PR Campaigns to:
- Patients and Public via local press
- Community Groups
- Schools and Children's centres
- Practices &amp; Primary Care (GMP, surestart, social services, health centre)
- Secondary Care Providers
- Wider Health &amp; Social Care          </t>
  </si>
  <si>
    <t>Identify and agree GPs to deploy to the contract.</t>
  </si>
  <si>
    <t>Deliver any Training Identified, including training for all on new Practice working arrangements, Equipment &amp; IM&amp;T, pathway, policies</t>
  </si>
  <si>
    <t>4</t>
  </si>
  <si>
    <t>5</t>
  </si>
  <si>
    <t>CORE MOBILISATION TEAM</t>
  </si>
  <si>
    <t>Confirm Communications &amp; Engagement Plan</t>
  </si>
  <si>
    <t>Finalise integrated governance arrangements</t>
  </si>
  <si>
    <t>Ensure that all staff have read practice’s Clinical Governance Manual and are fully compliant with the protocol therein</t>
  </si>
  <si>
    <t>Make all relevant policies available to staff for service commencement e.g. risk management, prescribing etc. and highlight any changes to practice which may be required</t>
  </si>
  <si>
    <t xml:space="preserve">Set-up of Governance Group inc terms of reference and 1st meeting
</t>
  </si>
  <si>
    <t>Review and update DSP Action Plan</t>
  </si>
  <si>
    <t xml:space="preserve">Test all equipment </t>
  </si>
  <si>
    <t>Staff training/updates in the use of  new equipment &amp; systems</t>
  </si>
  <si>
    <t>6</t>
  </si>
  <si>
    <t>3.2</t>
  </si>
  <si>
    <t>3.3</t>
  </si>
  <si>
    <t>3.5</t>
  </si>
  <si>
    <t>4.10</t>
  </si>
  <si>
    <t>5.5</t>
  </si>
  <si>
    <t>6.5</t>
  </si>
  <si>
    <t>Comprehensive review of Health Inequalities</t>
  </si>
  <si>
    <t>3.0 PATIENT ENGAGEMENT AND CONSULTATION</t>
  </si>
  <si>
    <t>Update and disseminate Consultation brief</t>
  </si>
  <si>
    <t>Issue Consultation report with feedback and proposed actions, inviting further feedback</t>
  </si>
  <si>
    <t>Update action implementation plan, including scheduling stakeholder reviews, and ‘You said, We Did’</t>
  </si>
  <si>
    <t>Draft consultation brief; outlining patient concerns identified, outline of current services problems and constraints, aims to provide solution, and possible options. This will include; covering experience and accessibility to inform and reaffirm service design, including which days of the week to provide extended opening until 8pm.</t>
  </si>
  <si>
    <t>4.0 GOVERNANCE</t>
  </si>
  <si>
    <t>5.0 WORKFORCE &amp; TRAINING</t>
  </si>
  <si>
    <t>5.6</t>
  </si>
  <si>
    <t>5.7</t>
  </si>
  <si>
    <t>5.8</t>
  </si>
  <si>
    <t>5.9</t>
  </si>
  <si>
    <t>5.10</t>
  </si>
  <si>
    <t>5.11</t>
  </si>
  <si>
    <t>5.12</t>
  </si>
  <si>
    <t>5.13</t>
  </si>
  <si>
    <t>6.0 PREMISES</t>
  </si>
  <si>
    <t>7.0 EQUIPMENT &amp; SYSTEMS</t>
  </si>
  <si>
    <t>7.1</t>
  </si>
  <si>
    <t>7.2</t>
  </si>
  <si>
    <t>7.3</t>
  </si>
  <si>
    <t>7.4</t>
  </si>
  <si>
    <t>7.5</t>
  </si>
  <si>
    <t>7.6</t>
  </si>
  <si>
    <t>7.7</t>
  </si>
  <si>
    <t>8.1</t>
  </si>
  <si>
    <t>8.2</t>
  </si>
  <si>
    <t>8.3</t>
  </si>
  <si>
    <t>8.4</t>
  </si>
  <si>
    <t>Notification of Outcome</t>
  </si>
  <si>
    <t>Invite Patients into PPG meetings to meet the team and address/discuss any concerns</t>
  </si>
  <si>
    <t>New signage with Doctors information</t>
  </si>
  <si>
    <t>FN</t>
  </si>
  <si>
    <t>3.7</t>
  </si>
  <si>
    <t>Collate feedback and opinions via surveys, PPG, practice, waiting area and community events</t>
  </si>
  <si>
    <t>4.13</t>
  </si>
  <si>
    <t>5.14</t>
  </si>
  <si>
    <t>Complete Premises Audit, including:
- Accessibility
- Privacy
- Health &amp; Safety Assessment
- Fire Reg Cert
- Legionnaires Testing/water checks
- Asbestos survey
- PAT testing
- Oxygen and equipment
- Energy usage 
- DDA Assessment</t>
  </si>
  <si>
    <t>Finalise and Sign Property Lease including FM and Maintenance service agreements</t>
  </si>
  <si>
    <t>4.14</t>
  </si>
  <si>
    <t>7.8</t>
  </si>
  <si>
    <t>Go Live</t>
  </si>
  <si>
    <t>Ongoing</t>
  </si>
  <si>
    <t>Create Patient Information Leaflet and telephone messaging</t>
  </si>
  <si>
    <t>2.0 STAKEHOLDER ENGAGEMENT &amp; COMMUNICATIONS</t>
  </si>
  <si>
    <t>Update Clinical Governance Manual and related procedures, including incidents management, and complaints.</t>
  </si>
  <si>
    <t>WEEK 14</t>
  </si>
  <si>
    <t>Complete and sign initial rental agreement and update insurances</t>
  </si>
  <si>
    <t>8.0 OPERATIONAL MANAGEMENT</t>
  </si>
  <si>
    <t>Schedule rotas including (but not limited to):
Duty Doctor
GPs, other clinicians
Nurses/HCA
Reception Teams
Administration Teams</t>
  </si>
  <si>
    <t>2.4</t>
  </si>
  <si>
    <t>8.5</t>
  </si>
  <si>
    <t>9.0 PROGRESS UPDATE AND SERVICE REVIEW</t>
  </si>
  <si>
    <t>9.1</t>
  </si>
  <si>
    <t>9.2</t>
  </si>
  <si>
    <t>9.3</t>
  </si>
  <si>
    <t>Reconfirm staff deployment and recruit vacancies or any posts that have become vacant, including external recruitment campaign</t>
  </si>
  <si>
    <t>Emergency Equipment and Drugs
Vaccinations/Immunisation Stock</t>
  </si>
  <si>
    <t>Dr F Nasir</t>
  </si>
  <si>
    <t>1.0 CONTRACTS</t>
  </si>
  <si>
    <t xml:space="preserve">Confirm TUPE Implications. </t>
  </si>
  <si>
    <t xml:space="preserve">Consultation Period </t>
  </si>
  <si>
    <t xml:space="preserve">Confirm those to be transferred </t>
  </si>
  <si>
    <t>WEEK 15</t>
  </si>
  <si>
    <t>WEEK 16</t>
  </si>
  <si>
    <t>WEEK 17</t>
  </si>
  <si>
    <t>WEEK 18</t>
  </si>
  <si>
    <t xml:space="preserve">Confirm and reconcile Asset List and any equipment included with contract. </t>
  </si>
  <si>
    <t>Update KPI and contract reporting and verify test data, confirming roles for Governance/Performance Leads, including:
- CQC
- QOF
- Enhanced Primary Care Services
- Referrals</t>
  </si>
  <si>
    <t>High Med Consortium - Mobilisation Plan for Isleworth (Lot 1)</t>
  </si>
  <si>
    <t>Dr Usama Safeer</t>
  </si>
  <si>
    <t>US</t>
  </si>
  <si>
    <t>Finance &amp; Mobilisation Lead</t>
  </si>
  <si>
    <t>FN/US</t>
  </si>
  <si>
    <t>SM</t>
  </si>
  <si>
    <t xml:space="preserve">Dr Shumaila Mahmood </t>
  </si>
  <si>
    <t>Partner &amp; Clinical Director</t>
  </si>
  <si>
    <t>Partner &amp; Quality &amp; Safety Lead</t>
  </si>
  <si>
    <t>Dr Gursharan Singh</t>
  </si>
  <si>
    <t>GS</t>
  </si>
  <si>
    <t xml:space="preserve">Ms Manjot Kaur </t>
  </si>
  <si>
    <t>MK</t>
  </si>
  <si>
    <t>Service Delivery &amp; Operations Lead</t>
  </si>
  <si>
    <t>HR &amp; Training Lead</t>
  </si>
  <si>
    <t>SM/US/MK</t>
  </si>
  <si>
    <t>SM/US</t>
  </si>
  <si>
    <t>SM/MK</t>
  </si>
  <si>
    <t>SM/GS</t>
  </si>
  <si>
    <t>SS</t>
  </si>
  <si>
    <t>SM/SS</t>
  </si>
  <si>
    <t>FN/SM</t>
  </si>
  <si>
    <t>Engage stakeholder feedback on briefing, including; patients, NHSE, NWL ICB, and Healthwatch</t>
  </si>
  <si>
    <t>Work with Brentwood PCN and ICB forums to progress and update agreed consistent patient comms, pathways, and working arrangements</t>
  </si>
  <si>
    <t>Complete assurance process relating to Policy alignment to ICB</t>
  </si>
  <si>
    <t xml:space="preserve">Clinical handover, to include:
Safeguarding Children and Adults
Homeless
Palliative Care 
High risk drugs
Asylum seekers
Cancer register
Nursing Homes/ Care Homes
Emergency Drugs
Emergency equipment's
Control drugs on premises
Vaccination in the fridge
Death Certificate Register
</t>
  </si>
  <si>
    <t>Notifications and update access details:
PCSE
PCSE Supplies
CQRS
Immform</t>
  </si>
  <si>
    <t>Open Day</t>
  </si>
  <si>
    <t>Complete Operational Model; workforce deployment and clinic scheduling</t>
  </si>
  <si>
    <t>TUPE Completion</t>
  </si>
  <si>
    <t>Confirm and assign responsibilities and Lead Roles</t>
  </si>
  <si>
    <t>Purchase/lease new equipment where required. Including setup of telephone system.</t>
  </si>
  <si>
    <t>Dr Saira Safeer</t>
  </si>
  <si>
    <t xml:space="preserve">Admin and Public Health Lead </t>
  </si>
  <si>
    <t>7.9</t>
  </si>
  <si>
    <t>Liaise with NWL/Incumbent to complete Data Discovery and records transfer plan</t>
  </si>
  <si>
    <t>Complete DPIA with NWL ICB and Incumbent</t>
  </si>
  <si>
    <t>7.10</t>
  </si>
  <si>
    <t>Test secure records transfer</t>
  </si>
  <si>
    <t>7.11</t>
  </si>
  <si>
    <t>FINAL secure records transfer</t>
  </si>
  <si>
    <t>Records Validation</t>
  </si>
  <si>
    <t>7.12</t>
  </si>
  <si>
    <t>7.13</t>
  </si>
  <si>
    <t>Sign-off and Final Assurance of records transfer</t>
  </si>
  <si>
    <t>7.14</t>
  </si>
  <si>
    <t>Confirm complete Workforce in place for service commencement, including implementation of management</t>
  </si>
  <si>
    <t>SN</t>
  </si>
  <si>
    <t>IT &amp; Digital Lead</t>
  </si>
  <si>
    <t xml:space="preserve">Mr Safeer Nasir </t>
  </si>
  <si>
    <t>US/SN</t>
  </si>
  <si>
    <t>CRITICAL SUCCESS FACTORS</t>
  </si>
  <si>
    <t>7</t>
  </si>
  <si>
    <t>CQC Statement of Purpose Review and notification of change of Provider</t>
  </si>
  <si>
    <t>Critical Success Factor</t>
  </si>
  <si>
    <t>Arrange Meetings to Introduce High Med Medical Centre</t>
  </si>
  <si>
    <t>Smartcard access for High Med Partners, GPs and Operational team
EMIS Web access, TeamNet, AccuRx, and Docman set-up.</t>
  </si>
  <si>
    <t>Test local referral pathways /PRISM</t>
  </si>
  <si>
    <t>Prescription set up including (but not limited to):
Prescribing email sent to Neelam Bose 
Prescription Security Management and handover records
Prescription processing process set up and monitor</t>
  </si>
  <si>
    <t xml:space="preserve">Request ELI/TUPE Information </t>
  </si>
  <si>
    <t>Stakeholder Engagement &amp; Meetings. Including:
- NWL ICB
- London Borough of Houslow (Landlord)
- Brentwood PCN, Neighbourhood Practices, Community Health and Social Care Providers
- Patients and Service Users
- LMC
- CQC
- VCSEs including Age UK Hounslow, HFEH Mind, Cultivate London, Ealing &amp; Hounslow Community Voluntary Service (EHCVS), and Carers UK Hounslow.</t>
  </si>
  <si>
    <t>Complete Due Diligence including further site visit and discussions with London Borough of Houslow (Landlord)</t>
  </si>
  <si>
    <t>Liaise with London Borough of Houslow (Landlord) and make arrangements for any reparations</t>
  </si>
  <si>
    <r>
      <t xml:space="preserve">Confirm ICT strategy and plans; including optimisation of digital services, incorporating </t>
    </r>
    <r>
      <rPr>
        <sz val="10"/>
        <color theme="1"/>
        <rFont val="Arial"/>
        <family val="2"/>
      </rPr>
      <t>SystmOne</t>
    </r>
    <r>
      <rPr>
        <sz val="10"/>
        <rFont val="Arial"/>
        <family val="2"/>
      </rPr>
      <t>, HSCN connectivity, TeamNet, Docman, AccuRx, NHS App, and Ardens.</t>
    </r>
  </si>
  <si>
    <r>
      <t xml:space="preserve">New website and telephone messaging development. Including: website information to patients on new services and new staff practice team, patient information, incorporating </t>
    </r>
    <r>
      <rPr>
        <sz val="10"/>
        <color theme="1"/>
        <rFont val="Arial"/>
        <family val="2"/>
      </rPr>
      <t>SystmOne</t>
    </r>
    <r>
      <rPr>
        <sz val="10"/>
        <rFont val="Arial"/>
        <family val="2"/>
      </rPr>
      <t>, Docman, AccuRx, HSCN connectivity, TeamNet, NHS App, PATCHS, and Ardens functionality.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</si>
</sst>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trike/>
      <sz val="10"/>
      <name val="Arial"/>
      <family val="2"/>
    </font>
    <font>
      <strike/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">
    <xf numFmtId="0" fontId="0" fillId="0" borderId="0"/>
    <xf numFmtId="0" fontId="1" fillId="0" borderId="0"/>
    <xf numFmtId="0" fontId="1" fillId="2" borderId="2" applyNumberFormat="0" applyFont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49" fontId="5" fillId="0" borderId="0" xfId="0" applyNumberFormat="1" applyFont="1" applyAlignment="1">
      <alignment vertical="center" wrapText="1"/>
    </xf>
    <xf numFmtId="14" fontId="6" fillId="0" borderId="0" xfId="0" applyNumberFormat="1" applyFont="1" applyAlignment="1">
      <alignment wrapText="1"/>
    </xf>
    <xf numFmtId="14" fontId="6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/>
    </xf>
    <xf numFmtId="17" fontId="6" fillId="0" borderId="0" xfId="0" applyNumberFormat="1" applyFont="1" applyAlignment="1">
      <alignment horizontal="center" vertical="center" textRotation="90"/>
    </xf>
    <xf numFmtId="0" fontId="7" fillId="0" borderId="0" xfId="0" applyFont="1"/>
    <xf numFmtId="17" fontId="7" fillId="0" borderId="0" xfId="0" applyNumberFormat="1" applyFont="1"/>
    <xf numFmtId="164" fontId="7" fillId="0" borderId="0" xfId="0" applyNumberFormat="1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 textRotation="90"/>
    </xf>
    <xf numFmtId="14" fontId="6" fillId="3" borderId="1" xfId="0" applyNumberFormat="1" applyFont="1" applyFill="1" applyBorder="1" applyAlignment="1">
      <alignment horizontal="center" vertical="center" textRotation="90"/>
    </xf>
    <xf numFmtId="0" fontId="10" fillId="0" borderId="1" xfId="0" applyFont="1" applyBorder="1"/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wrapText="1"/>
    </xf>
    <xf numFmtId="16" fontId="6" fillId="3" borderId="1" xfId="0" applyNumberFormat="1" applyFont="1" applyFill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 textRotation="90"/>
    </xf>
    <xf numFmtId="0" fontId="13" fillId="0" borderId="1" xfId="0" applyFont="1" applyBorder="1"/>
    <xf numFmtId="49" fontId="5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164" fontId="5" fillId="4" borderId="1" xfId="0" applyNumberFormat="1" applyFont="1" applyFill="1" applyBorder="1" applyAlignment="1">
      <alignment horizontal="center" wrapText="1"/>
    </xf>
    <xf numFmtId="164" fontId="5" fillId="4" borderId="1" xfId="0" applyNumberFormat="1" applyFont="1" applyFill="1" applyBorder="1" applyAlignment="1">
      <alignment horizontal="center"/>
    </xf>
    <xf numFmtId="164" fontId="5" fillId="4" borderId="1" xfId="2" applyNumberFormat="1" applyFont="1" applyFill="1" applyBorder="1" applyAlignment="1">
      <alignment horizontal="center"/>
    </xf>
    <xf numFmtId="17" fontId="15" fillId="0" borderId="1" xfId="0" applyNumberFormat="1" applyFont="1" applyBorder="1" applyAlignment="1">
      <alignment horizontal="center" vertical="center" textRotation="90"/>
    </xf>
    <xf numFmtId="17" fontId="15" fillId="3" borderId="1" xfId="0" applyNumberFormat="1" applyFont="1" applyFill="1" applyBorder="1" applyAlignment="1">
      <alignment horizontal="center" vertical="center" textRotation="90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 textRotation="90"/>
    </xf>
    <xf numFmtId="0" fontId="0" fillId="0" borderId="1" xfId="0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/>
    <xf numFmtId="0" fontId="8" fillId="5" borderId="1" xfId="0" applyFont="1" applyFill="1" applyBorder="1"/>
    <xf numFmtId="0" fontId="8" fillId="5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49" fontId="11" fillId="0" borderId="1" xfId="0" applyNumberFormat="1" applyFont="1" applyBorder="1" applyAlignment="1">
      <alignment vertical="center" wrapText="1"/>
    </xf>
    <xf numFmtId="20" fontId="6" fillId="3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49" fontId="5" fillId="6" borderId="1" xfId="0" applyNumberFormat="1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left"/>
    </xf>
    <xf numFmtId="164" fontId="5" fillId="0" borderId="1" xfId="0" applyNumberFormat="1" applyFont="1" applyBorder="1" applyAlignment="1">
      <alignment horizontal="center" vertical="center" wrapText="1"/>
    </xf>
    <xf numFmtId="49" fontId="14" fillId="5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7" fontId="17" fillId="7" borderId="1" xfId="0" applyNumberFormat="1" applyFont="1" applyFill="1" applyBorder="1" applyAlignment="1">
      <alignment horizontal="center" vertical="center" wrapText="1"/>
    </xf>
  </cellXfs>
  <cellStyles count="23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  <cellStyle name="Normal 2" xfId="1" xr:uid="{00000000-0005-0000-0000-000015000000}"/>
    <cellStyle name="Note" xfId="2" builtinId="10"/>
  </cellStyles>
  <dxfs count="198"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indexed="5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condense val="0"/>
        <extend val="0"/>
        <color auto="1"/>
      </font>
      <fill>
        <patternFill>
          <bgColor indexed="55"/>
        </patternFill>
      </fill>
    </dxf>
    <dxf>
      <fill>
        <patternFill patternType="solid">
          <bgColor theme="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 patternType="solid">
          <bgColor theme="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0000"/>
        </patternFill>
      </fill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 patternType="solid">
          <bgColor theme="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indexed="55"/>
        </patternFill>
      </fill>
    </dxf>
    <dxf>
      <font>
        <condense val="0"/>
        <extend val="0"/>
        <color auto="1"/>
      </font>
      <fill>
        <patternFill>
          <bgColor indexed="55"/>
        </patternFill>
      </fill>
    </dxf>
    <dxf>
      <fill>
        <patternFill>
          <bgColor rgb="FF99FF66"/>
        </patternFill>
      </fill>
      <border>
        <left style="thin">
          <color indexed="64"/>
        </left>
        <right style="thin">
          <color indexed="64"/>
        </right>
      </border>
    </dxf>
    <dxf>
      <font>
        <b/>
        <i val="0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C000"/>
        </patternFill>
      </fill>
    </dxf>
    <dxf>
      <font>
        <strike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/>
      </font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strike/>
      </font>
    </dxf>
    <dxf>
      <fill>
        <patternFill>
          <bgColor rgb="FFFF0000"/>
        </patternFill>
      </fill>
    </dxf>
    <dxf>
      <font>
        <strike/>
      </font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strike/>
      </font>
    </dxf>
    <dxf>
      <font>
        <strike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strike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strike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strike/>
      </font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strike/>
      </font>
    </dxf>
    <dxf>
      <font>
        <strike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strike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strike/>
      </font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strike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strike/>
      </font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strike/>
      </font>
    </dxf>
    <dxf>
      <fill>
        <patternFill>
          <bgColor rgb="FF00B0F0"/>
        </patternFill>
      </fill>
    </dxf>
    <dxf>
      <font>
        <strike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strike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strike/>
      </font>
    </dxf>
    <dxf>
      <fill>
        <patternFill>
          <bgColor rgb="FF00B0F0"/>
        </patternFill>
      </fill>
    </dxf>
    <dxf>
      <font>
        <strike/>
      </font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strike/>
      </font>
    </dxf>
    <dxf>
      <font>
        <strike/>
      </font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strike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strike/>
      </font>
    </dxf>
    <dxf>
      <fill>
        <patternFill>
          <bgColor rgb="FFFF0000"/>
        </patternFill>
      </fill>
    </dxf>
    <dxf>
      <font>
        <strike/>
      </font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strike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strike/>
      </font>
    </dxf>
    <dxf>
      <fill>
        <patternFill>
          <bgColor rgb="FFFFC000"/>
        </patternFill>
      </fill>
    </dxf>
    <dxf>
      <font>
        <strike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strike/>
      </font>
    </dxf>
    <dxf>
      <fill>
        <patternFill>
          <bgColor rgb="FFFFC000"/>
        </patternFill>
      </fill>
    </dxf>
    <dxf>
      <font>
        <strike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strike/>
      </font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strike/>
      </font>
    </dxf>
    <dxf>
      <fill>
        <patternFill>
          <bgColor rgb="FF00B0F0"/>
        </patternFill>
      </fill>
    </dxf>
    <dxf>
      <font>
        <strike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strike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strike/>
      </font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08"/>
  <sheetViews>
    <sheetView tabSelected="1" zoomScale="60" zoomScaleNormal="80" zoomScalePageLayoutView="70" workbookViewId="0">
      <pane xSplit="7" ySplit="13" topLeftCell="H89" activePane="bottomRight" state="frozen"/>
      <selection pane="topRight" activeCell="H1" sqref="H1"/>
      <selection pane="bottomLeft" activeCell="A14" sqref="A14"/>
      <selection pane="bottomRight" activeCell="B18" sqref="B18"/>
    </sheetView>
  </sheetViews>
  <sheetFormatPr defaultColWidth="4.796875" defaultRowHeight="13.15" x14ac:dyDescent="0.4"/>
  <cols>
    <col min="1" max="1" width="6.1328125" style="34" customWidth="1"/>
    <col min="2" max="2" width="55.1328125" style="35" customWidth="1"/>
    <col min="3" max="3" width="21.1328125" style="36" customWidth="1"/>
    <col min="4" max="4" width="18.796875" style="4" customWidth="1"/>
    <col min="5" max="6" width="18.796875" style="37" customWidth="1"/>
    <col min="7" max="7" width="18.796875" style="4" hidden="1" customWidth="1"/>
    <col min="8" max="18" width="4.796875" style="38" customWidth="1"/>
    <col min="19" max="19" width="4.796875" style="39" customWidth="1"/>
    <col min="20" max="39" width="4.796875" style="38" customWidth="1"/>
    <col min="40" max="40" width="4.796875" style="39" customWidth="1"/>
    <col min="41" max="60" width="4.796875" style="38" customWidth="1"/>
    <col min="61" max="61" width="4.796875" style="39" customWidth="1"/>
    <col min="62" max="75" width="4.796875" style="38" customWidth="1"/>
    <col min="76" max="81" width="4.796875" style="38"/>
    <col min="82" max="82" width="4.796875" style="39"/>
    <col min="83" max="102" width="4.796875" style="38"/>
    <col min="103" max="103" width="4.796875" style="39"/>
    <col min="104" max="132" width="4.796875" style="38"/>
    <col min="133" max="16384" width="4.796875" style="6"/>
  </cols>
  <sheetData>
    <row r="1" spans="1:132" x14ac:dyDescent="0.4">
      <c r="A1" s="1"/>
      <c r="B1" s="2">
        <f ca="1">TODAY()</f>
        <v>45968</v>
      </c>
      <c r="C1" s="3"/>
      <c r="E1" s="4"/>
      <c r="F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</row>
    <row r="2" spans="1:132" s="7" customFormat="1" ht="42" customHeight="1" x14ac:dyDescent="0.4">
      <c r="A2" s="64" t="s">
        <v>162</v>
      </c>
      <c r="B2" s="64"/>
      <c r="C2" s="42" t="s">
        <v>10</v>
      </c>
      <c r="D2" s="43" t="s">
        <v>2</v>
      </c>
      <c r="E2" s="44">
        <v>46105</v>
      </c>
      <c r="F2" s="43" t="s">
        <v>3</v>
      </c>
      <c r="G2" s="44">
        <v>46477</v>
      </c>
      <c r="H2" s="45">
        <f>E2</f>
        <v>46105</v>
      </c>
      <c r="I2" s="45">
        <f>H2+1</f>
        <v>46106</v>
      </c>
      <c r="J2" s="45">
        <f>I2+1</f>
        <v>46107</v>
      </c>
      <c r="K2" s="45">
        <f>J2+1</f>
        <v>46108</v>
      </c>
      <c r="L2" s="45">
        <f t="shared" ref="L2:AH3" si="0">K2+1</f>
        <v>46109</v>
      </c>
      <c r="M2" s="45">
        <f>L2+1</f>
        <v>46110</v>
      </c>
      <c r="N2" s="45">
        <f t="shared" si="0"/>
        <v>46111</v>
      </c>
      <c r="O2" s="45">
        <f t="shared" si="0"/>
        <v>46112</v>
      </c>
      <c r="P2" s="45">
        <f t="shared" si="0"/>
        <v>46113</v>
      </c>
      <c r="Q2" s="45">
        <f t="shared" si="0"/>
        <v>46114</v>
      </c>
      <c r="R2" s="46">
        <f t="shared" si="0"/>
        <v>46115</v>
      </c>
      <c r="S2" s="45">
        <f t="shared" si="0"/>
        <v>46116</v>
      </c>
      <c r="T2" s="45">
        <f t="shared" si="0"/>
        <v>46117</v>
      </c>
      <c r="U2" s="45">
        <f t="shared" si="0"/>
        <v>46118</v>
      </c>
      <c r="V2" s="45">
        <f t="shared" si="0"/>
        <v>46119</v>
      </c>
      <c r="W2" s="45">
        <f t="shared" si="0"/>
        <v>46120</v>
      </c>
      <c r="X2" s="45">
        <f t="shared" si="0"/>
        <v>46121</v>
      </c>
      <c r="Y2" s="45">
        <f t="shared" si="0"/>
        <v>46122</v>
      </c>
      <c r="Z2" s="45">
        <f t="shared" si="0"/>
        <v>46123</v>
      </c>
      <c r="AA2" s="45">
        <f t="shared" si="0"/>
        <v>46124</v>
      </c>
      <c r="AB2" s="45">
        <f t="shared" si="0"/>
        <v>46125</v>
      </c>
      <c r="AC2" s="45">
        <f t="shared" si="0"/>
        <v>46126</v>
      </c>
      <c r="AD2" s="45">
        <f t="shared" si="0"/>
        <v>46127</v>
      </c>
      <c r="AE2" s="45">
        <f t="shared" si="0"/>
        <v>46128</v>
      </c>
      <c r="AF2" s="45">
        <f t="shared" si="0"/>
        <v>46129</v>
      </c>
      <c r="AG2" s="45">
        <f t="shared" si="0"/>
        <v>46130</v>
      </c>
      <c r="AH2" s="45">
        <f t="shared" si="0"/>
        <v>46131</v>
      </c>
      <c r="AI2" s="45">
        <f t="shared" ref="AI2:AI3" si="1">AH2+1</f>
        <v>46132</v>
      </c>
      <c r="AJ2" s="45">
        <f t="shared" ref="AJ2:AJ3" si="2">AI2+1</f>
        <v>46133</v>
      </c>
      <c r="AK2" s="45">
        <f t="shared" ref="AK2:AK3" si="3">AJ2+1</f>
        <v>46134</v>
      </c>
      <c r="AL2" s="45">
        <f t="shared" ref="AL2:AL3" si="4">AK2+1</f>
        <v>46135</v>
      </c>
      <c r="AM2" s="46">
        <f t="shared" ref="AM2:AM3" si="5">AL2+1</f>
        <v>46136</v>
      </c>
      <c r="AN2" s="45">
        <f t="shared" ref="AN2:AN3" si="6">AM2+1</f>
        <v>46137</v>
      </c>
      <c r="AO2" s="45">
        <f t="shared" ref="AO2:AO3" si="7">AN2+1</f>
        <v>46138</v>
      </c>
      <c r="AP2" s="45">
        <f t="shared" ref="AP2:AP3" si="8">AO2+1</f>
        <v>46139</v>
      </c>
      <c r="AQ2" s="45">
        <f t="shared" ref="AQ2:AQ3" si="9">AP2+1</f>
        <v>46140</v>
      </c>
      <c r="AR2" s="45">
        <f t="shared" ref="AR2:AR3" si="10">AQ2+1</f>
        <v>46141</v>
      </c>
      <c r="AS2" s="45">
        <f t="shared" ref="AS2:AS3" si="11">AR2+1</f>
        <v>46142</v>
      </c>
      <c r="AT2" s="45">
        <f t="shared" ref="AT2:AT3" si="12">AS2+1</f>
        <v>46143</v>
      </c>
      <c r="AU2" s="45">
        <f t="shared" ref="AU2:AU3" si="13">AT2+1</f>
        <v>46144</v>
      </c>
      <c r="AV2" s="45">
        <f t="shared" ref="AV2:AV3" si="14">AU2+1</f>
        <v>46145</v>
      </c>
      <c r="AW2" s="45">
        <f t="shared" ref="AW2:AW3" si="15">AV2+1</f>
        <v>46146</v>
      </c>
      <c r="AX2" s="45">
        <f t="shared" ref="AX2:AX3" si="16">AW2+1</f>
        <v>46147</v>
      </c>
      <c r="AY2" s="45">
        <f t="shared" ref="AY2:AY3" si="17">AX2+1</f>
        <v>46148</v>
      </c>
      <c r="AZ2" s="45">
        <f t="shared" ref="AZ2:AZ3" si="18">AY2+1</f>
        <v>46149</v>
      </c>
      <c r="BA2" s="45">
        <f t="shared" ref="BA2:BA3" si="19">AZ2+1</f>
        <v>46150</v>
      </c>
      <c r="BB2" s="45">
        <f t="shared" ref="BB2:BB3" si="20">BA2+1</f>
        <v>46151</v>
      </c>
      <c r="BC2" s="45">
        <f t="shared" ref="BC2:BC3" si="21">BB2+1</f>
        <v>46152</v>
      </c>
      <c r="BD2" s="45">
        <f t="shared" ref="BD2:BD3" si="22">BC2+1</f>
        <v>46153</v>
      </c>
      <c r="BE2" s="45">
        <f t="shared" ref="BE2:BE3" si="23">BD2+1</f>
        <v>46154</v>
      </c>
      <c r="BF2" s="45">
        <f t="shared" ref="BF2:BF3" si="24">BE2+1</f>
        <v>46155</v>
      </c>
      <c r="BG2" s="45">
        <f t="shared" ref="BG2:BG3" si="25">BF2+1</f>
        <v>46156</v>
      </c>
      <c r="BH2" s="46">
        <f t="shared" ref="BH2:BH3" si="26">BG2+1</f>
        <v>46157</v>
      </c>
      <c r="BI2" s="45">
        <f t="shared" ref="BI2:BI3" si="27">BH2+1</f>
        <v>46158</v>
      </c>
      <c r="BJ2" s="45">
        <f t="shared" ref="BJ2:BJ3" si="28">BI2+1</f>
        <v>46159</v>
      </c>
      <c r="BK2" s="45">
        <f t="shared" ref="BK2:BK3" si="29">BJ2+1</f>
        <v>46160</v>
      </c>
      <c r="BL2" s="45">
        <f t="shared" ref="BL2:BL3" si="30">BK2+1</f>
        <v>46161</v>
      </c>
      <c r="BM2" s="45">
        <f t="shared" ref="BM2:BM3" si="31">BL2+1</f>
        <v>46162</v>
      </c>
      <c r="BN2" s="45">
        <f t="shared" ref="BN2:BN3" si="32">BM2+1</f>
        <v>46163</v>
      </c>
      <c r="BO2" s="45">
        <f t="shared" ref="BO2:BO3" si="33">BN2+1</f>
        <v>46164</v>
      </c>
      <c r="BP2" s="45">
        <f t="shared" ref="BP2:BP3" si="34">BO2+1</f>
        <v>46165</v>
      </c>
      <c r="BQ2" s="45">
        <f t="shared" ref="BQ2:BQ3" si="35">BP2+1</f>
        <v>46166</v>
      </c>
      <c r="BR2" s="45">
        <f t="shared" ref="BR2:BR3" si="36">BQ2+1</f>
        <v>46167</v>
      </c>
      <c r="BS2" s="45">
        <f t="shared" ref="BS2:BS3" si="37">BR2+1</f>
        <v>46168</v>
      </c>
      <c r="BT2" s="45">
        <f t="shared" ref="BT2:BT3" si="38">BS2+1</f>
        <v>46169</v>
      </c>
      <c r="BU2" s="45">
        <f t="shared" ref="BU2:BU3" si="39">BT2+1</f>
        <v>46170</v>
      </c>
      <c r="BV2" s="45">
        <f t="shared" ref="BV2:BV3" si="40">BU2+1</f>
        <v>46171</v>
      </c>
      <c r="BW2" s="45">
        <f t="shared" ref="BW2:BW3" si="41">BV2+1</f>
        <v>46172</v>
      </c>
      <c r="BX2" s="45">
        <f t="shared" ref="BX2:BX3" si="42">BW2+1</f>
        <v>46173</v>
      </c>
      <c r="BY2" s="45">
        <f t="shared" ref="BY2:BY3" si="43">BX2+1</f>
        <v>46174</v>
      </c>
      <c r="BZ2" s="45">
        <f t="shared" ref="BZ2:BZ3" si="44">BY2+1</f>
        <v>46175</v>
      </c>
      <c r="CA2" s="45">
        <f t="shared" ref="CA2:CA3" si="45">BZ2+1</f>
        <v>46176</v>
      </c>
      <c r="CB2" s="45">
        <f t="shared" ref="CB2:CB3" si="46">CA2+1</f>
        <v>46177</v>
      </c>
      <c r="CC2" s="46">
        <f t="shared" ref="CC2:CC3" si="47">CB2+1</f>
        <v>46178</v>
      </c>
      <c r="CD2" s="45">
        <f t="shared" ref="CD2:CD3" si="48">CC2+1</f>
        <v>46179</v>
      </c>
      <c r="CE2" s="45">
        <f t="shared" ref="CE2:CE3" si="49">CD2+1</f>
        <v>46180</v>
      </c>
      <c r="CF2" s="45">
        <f t="shared" ref="CF2:CF3" si="50">CE2+1</f>
        <v>46181</v>
      </c>
      <c r="CG2" s="45">
        <f t="shared" ref="CG2:CG3" si="51">CF2+1</f>
        <v>46182</v>
      </c>
      <c r="CH2" s="45">
        <f t="shared" ref="CH2:CH3" si="52">CG2+1</f>
        <v>46183</v>
      </c>
      <c r="CI2" s="45">
        <f t="shared" ref="CI2:CI3" si="53">CH2+1</f>
        <v>46184</v>
      </c>
      <c r="CJ2" s="45">
        <f t="shared" ref="CJ2:CJ3" si="54">CI2+1</f>
        <v>46185</v>
      </c>
      <c r="CK2" s="45">
        <f t="shared" ref="CK2:CK3" si="55">CJ2+1</f>
        <v>46186</v>
      </c>
      <c r="CL2" s="45">
        <f t="shared" ref="CL2:CL3" si="56">CK2+1</f>
        <v>46187</v>
      </c>
      <c r="CM2" s="45">
        <f t="shared" ref="CM2:CM3" si="57">CL2+1</f>
        <v>46188</v>
      </c>
      <c r="CN2" s="45">
        <f t="shared" ref="CN2:CN3" si="58">CM2+1</f>
        <v>46189</v>
      </c>
      <c r="CO2" s="45">
        <f t="shared" ref="CO2:CO3" si="59">CN2+1</f>
        <v>46190</v>
      </c>
      <c r="CP2" s="45">
        <f t="shared" ref="CP2:CP3" si="60">CO2+1</f>
        <v>46191</v>
      </c>
      <c r="CQ2" s="45">
        <f t="shared" ref="CQ2:CQ3" si="61">CP2+1</f>
        <v>46192</v>
      </c>
      <c r="CR2" s="45">
        <f t="shared" ref="CR2:CR3" si="62">CQ2+1</f>
        <v>46193</v>
      </c>
      <c r="CS2" s="45">
        <f t="shared" ref="CS2:CS3" si="63">CR2+1</f>
        <v>46194</v>
      </c>
      <c r="CT2" s="45">
        <f t="shared" ref="CT2:CT3" si="64">CS2+1</f>
        <v>46195</v>
      </c>
      <c r="CU2" s="45">
        <f t="shared" ref="CU2:CU3" si="65">CT2+1</f>
        <v>46196</v>
      </c>
      <c r="CV2" s="45">
        <f t="shared" ref="CV2:CV3" si="66">CU2+1</f>
        <v>46197</v>
      </c>
      <c r="CW2" s="45">
        <f t="shared" ref="CW2:CW3" si="67">CV2+1</f>
        <v>46198</v>
      </c>
      <c r="CX2" s="46">
        <f t="shared" ref="CX2:CX3" si="68">CW2+1</f>
        <v>46199</v>
      </c>
      <c r="CY2" s="45">
        <f t="shared" ref="CY2:CY3" si="69">CX2+1</f>
        <v>46200</v>
      </c>
      <c r="CZ2" s="45">
        <f t="shared" ref="CZ2:CZ3" si="70">CY2+1</f>
        <v>46201</v>
      </c>
      <c r="DA2" s="45">
        <f t="shared" ref="DA2:DA3" si="71">CZ2+1</f>
        <v>46202</v>
      </c>
      <c r="DB2" s="45">
        <f t="shared" ref="DB2:DB3" si="72">DA2+1</f>
        <v>46203</v>
      </c>
      <c r="DC2" s="45">
        <f t="shared" ref="DC2:DC3" si="73">DB2+1</f>
        <v>46204</v>
      </c>
      <c r="DD2" s="45">
        <f t="shared" ref="DD2:DD3" si="74">DC2+1</f>
        <v>46205</v>
      </c>
      <c r="DE2" s="45">
        <f t="shared" ref="DE2:DE3" si="75">DD2+1</f>
        <v>46206</v>
      </c>
      <c r="DF2" s="45">
        <f t="shared" ref="DF2:DF3" si="76">DE2+1</f>
        <v>46207</v>
      </c>
      <c r="DG2" s="45">
        <f t="shared" ref="DG2:DG3" si="77">DF2+1</f>
        <v>46208</v>
      </c>
      <c r="DH2" s="45">
        <f t="shared" ref="DH2:DH3" si="78">DG2+1</f>
        <v>46209</v>
      </c>
      <c r="DI2" s="45">
        <f t="shared" ref="DI2:DI3" si="79">DH2+1</f>
        <v>46210</v>
      </c>
      <c r="DJ2" s="45">
        <f t="shared" ref="DJ2:DJ3" si="80">DI2+1</f>
        <v>46211</v>
      </c>
      <c r="DK2" s="45">
        <f t="shared" ref="DK2:DK3" si="81">DJ2+1</f>
        <v>46212</v>
      </c>
      <c r="DL2" s="45">
        <f t="shared" ref="DL2:DL3" si="82">DK2+1</f>
        <v>46213</v>
      </c>
      <c r="DM2" s="45">
        <f t="shared" ref="DM2:DM3" si="83">DL2+1</f>
        <v>46214</v>
      </c>
      <c r="DN2" s="45">
        <f t="shared" ref="DN2:DN3" si="84">DM2+1</f>
        <v>46215</v>
      </c>
      <c r="DO2" s="45">
        <f t="shared" ref="DO2:DO3" si="85">DN2+1</f>
        <v>46216</v>
      </c>
      <c r="DP2" s="45">
        <f t="shared" ref="DP2:DP3" si="86">DO2+1</f>
        <v>46217</v>
      </c>
      <c r="DQ2" s="45">
        <f t="shared" ref="DQ2:DQ3" si="87">DP2+1</f>
        <v>46218</v>
      </c>
      <c r="DR2" s="45">
        <f t="shared" ref="DR2:DR3" si="88">DQ2+1</f>
        <v>46219</v>
      </c>
      <c r="DS2" s="45">
        <f t="shared" ref="DS2:DS3" si="89">DR2+1</f>
        <v>46220</v>
      </c>
      <c r="DT2" s="45">
        <f t="shared" ref="DT2:DT3" si="90">DS2+1</f>
        <v>46221</v>
      </c>
      <c r="DU2" s="45">
        <f t="shared" ref="DU2:DU3" si="91">DT2+1</f>
        <v>46222</v>
      </c>
      <c r="DV2" s="45">
        <f t="shared" ref="DV2:DV3" si="92">DU2+1</f>
        <v>46223</v>
      </c>
      <c r="DW2" s="45">
        <f t="shared" ref="DW2:DW3" si="93">DV2+1</f>
        <v>46224</v>
      </c>
      <c r="DX2" s="45">
        <f t="shared" ref="DX2:DX3" si="94">DW2+1</f>
        <v>46225</v>
      </c>
      <c r="DY2" s="45">
        <f t="shared" ref="DY2:DY3" si="95">DX2+1</f>
        <v>46226</v>
      </c>
      <c r="DZ2" s="45">
        <f t="shared" ref="DZ2:DZ3" si="96">DY2+1</f>
        <v>46227</v>
      </c>
      <c r="EA2" s="45">
        <f t="shared" ref="EA2:EA3" si="97">DZ2+1</f>
        <v>46228</v>
      </c>
      <c r="EB2" s="45">
        <f t="shared" ref="EB2:EB3" si="98">EA2+1</f>
        <v>46229</v>
      </c>
    </row>
    <row r="3" spans="1:132" s="8" customFormat="1" ht="43.9" x14ac:dyDescent="0.4">
      <c r="A3" s="61" t="s">
        <v>5</v>
      </c>
      <c r="B3" s="61"/>
      <c r="C3" s="47" t="s">
        <v>216</v>
      </c>
      <c r="D3" s="48" t="s">
        <v>0</v>
      </c>
      <c r="E3" s="48" t="s">
        <v>1</v>
      </c>
      <c r="F3" s="47" t="s">
        <v>4</v>
      </c>
      <c r="G3" s="47" t="s">
        <v>68</v>
      </c>
      <c r="H3" s="49">
        <f>E2</f>
        <v>46105</v>
      </c>
      <c r="I3" s="49">
        <f>H3+1</f>
        <v>46106</v>
      </c>
      <c r="J3" s="49">
        <f t="shared" ref="J3:K3" si="99">I3+1</f>
        <v>46107</v>
      </c>
      <c r="K3" s="49">
        <f t="shared" si="99"/>
        <v>46108</v>
      </c>
      <c r="L3" s="49">
        <f t="shared" si="0"/>
        <v>46109</v>
      </c>
      <c r="M3" s="49">
        <f>L3+1</f>
        <v>46110</v>
      </c>
      <c r="N3" s="49">
        <f t="shared" si="0"/>
        <v>46111</v>
      </c>
      <c r="O3" s="49">
        <f t="shared" si="0"/>
        <v>46112</v>
      </c>
      <c r="P3" s="49">
        <f t="shared" si="0"/>
        <v>46113</v>
      </c>
      <c r="Q3" s="49">
        <f t="shared" si="0"/>
        <v>46114</v>
      </c>
      <c r="R3" s="49">
        <f t="shared" si="0"/>
        <v>46115</v>
      </c>
      <c r="S3" s="49">
        <f t="shared" si="0"/>
        <v>46116</v>
      </c>
      <c r="T3" s="49">
        <f t="shared" si="0"/>
        <v>46117</v>
      </c>
      <c r="U3" s="49">
        <f t="shared" si="0"/>
        <v>46118</v>
      </c>
      <c r="V3" s="49">
        <f t="shared" si="0"/>
        <v>46119</v>
      </c>
      <c r="W3" s="49">
        <f t="shared" si="0"/>
        <v>46120</v>
      </c>
      <c r="X3" s="49">
        <f t="shared" si="0"/>
        <v>46121</v>
      </c>
      <c r="Y3" s="49">
        <f t="shared" si="0"/>
        <v>46122</v>
      </c>
      <c r="Z3" s="49">
        <f t="shared" si="0"/>
        <v>46123</v>
      </c>
      <c r="AA3" s="49">
        <f t="shared" si="0"/>
        <v>46124</v>
      </c>
      <c r="AB3" s="49">
        <f t="shared" si="0"/>
        <v>46125</v>
      </c>
      <c r="AC3" s="49">
        <f t="shared" si="0"/>
        <v>46126</v>
      </c>
      <c r="AD3" s="49">
        <f t="shared" si="0"/>
        <v>46127</v>
      </c>
      <c r="AE3" s="49">
        <f t="shared" si="0"/>
        <v>46128</v>
      </c>
      <c r="AF3" s="49">
        <f t="shared" si="0"/>
        <v>46129</v>
      </c>
      <c r="AG3" s="49">
        <f t="shared" si="0"/>
        <v>46130</v>
      </c>
      <c r="AH3" s="49">
        <f t="shared" si="0"/>
        <v>46131</v>
      </c>
      <c r="AI3" s="49">
        <f t="shared" si="1"/>
        <v>46132</v>
      </c>
      <c r="AJ3" s="49">
        <f t="shared" si="2"/>
        <v>46133</v>
      </c>
      <c r="AK3" s="49">
        <f t="shared" si="3"/>
        <v>46134</v>
      </c>
      <c r="AL3" s="49">
        <f t="shared" si="4"/>
        <v>46135</v>
      </c>
      <c r="AM3" s="49">
        <f t="shared" si="5"/>
        <v>46136</v>
      </c>
      <c r="AN3" s="49">
        <f t="shared" si="6"/>
        <v>46137</v>
      </c>
      <c r="AO3" s="49">
        <f t="shared" si="7"/>
        <v>46138</v>
      </c>
      <c r="AP3" s="49">
        <f t="shared" si="8"/>
        <v>46139</v>
      </c>
      <c r="AQ3" s="49">
        <f t="shared" si="9"/>
        <v>46140</v>
      </c>
      <c r="AR3" s="49">
        <f t="shared" si="10"/>
        <v>46141</v>
      </c>
      <c r="AS3" s="49">
        <f t="shared" si="11"/>
        <v>46142</v>
      </c>
      <c r="AT3" s="49">
        <f t="shared" si="12"/>
        <v>46143</v>
      </c>
      <c r="AU3" s="49">
        <f t="shared" si="13"/>
        <v>46144</v>
      </c>
      <c r="AV3" s="49">
        <f t="shared" si="14"/>
        <v>46145</v>
      </c>
      <c r="AW3" s="49">
        <f t="shared" si="15"/>
        <v>46146</v>
      </c>
      <c r="AX3" s="49">
        <f t="shared" si="16"/>
        <v>46147</v>
      </c>
      <c r="AY3" s="49">
        <f t="shared" si="17"/>
        <v>46148</v>
      </c>
      <c r="AZ3" s="49">
        <f t="shared" si="18"/>
        <v>46149</v>
      </c>
      <c r="BA3" s="49">
        <f t="shared" si="19"/>
        <v>46150</v>
      </c>
      <c r="BB3" s="49">
        <f t="shared" si="20"/>
        <v>46151</v>
      </c>
      <c r="BC3" s="49">
        <f t="shared" si="21"/>
        <v>46152</v>
      </c>
      <c r="BD3" s="49">
        <f t="shared" si="22"/>
        <v>46153</v>
      </c>
      <c r="BE3" s="49">
        <f t="shared" si="23"/>
        <v>46154</v>
      </c>
      <c r="BF3" s="49">
        <f t="shared" si="24"/>
        <v>46155</v>
      </c>
      <c r="BG3" s="49">
        <f t="shared" si="25"/>
        <v>46156</v>
      </c>
      <c r="BH3" s="49">
        <f t="shared" si="26"/>
        <v>46157</v>
      </c>
      <c r="BI3" s="49">
        <f t="shared" si="27"/>
        <v>46158</v>
      </c>
      <c r="BJ3" s="49">
        <f t="shared" si="28"/>
        <v>46159</v>
      </c>
      <c r="BK3" s="49">
        <f t="shared" si="29"/>
        <v>46160</v>
      </c>
      <c r="BL3" s="49">
        <f t="shared" si="30"/>
        <v>46161</v>
      </c>
      <c r="BM3" s="49">
        <f t="shared" si="31"/>
        <v>46162</v>
      </c>
      <c r="BN3" s="49">
        <f t="shared" si="32"/>
        <v>46163</v>
      </c>
      <c r="BO3" s="49">
        <f t="shared" si="33"/>
        <v>46164</v>
      </c>
      <c r="BP3" s="49">
        <f t="shared" si="34"/>
        <v>46165</v>
      </c>
      <c r="BQ3" s="49">
        <f t="shared" si="35"/>
        <v>46166</v>
      </c>
      <c r="BR3" s="49">
        <f t="shared" si="36"/>
        <v>46167</v>
      </c>
      <c r="BS3" s="49">
        <f t="shared" si="37"/>
        <v>46168</v>
      </c>
      <c r="BT3" s="49">
        <f t="shared" si="38"/>
        <v>46169</v>
      </c>
      <c r="BU3" s="49">
        <f t="shared" si="39"/>
        <v>46170</v>
      </c>
      <c r="BV3" s="49">
        <f t="shared" si="40"/>
        <v>46171</v>
      </c>
      <c r="BW3" s="49">
        <f t="shared" si="41"/>
        <v>46172</v>
      </c>
      <c r="BX3" s="49">
        <f t="shared" si="42"/>
        <v>46173</v>
      </c>
      <c r="BY3" s="49">
        <f t="shared" si="43"/>
        <v>46174</v>
      </c>
      <c r="BZ3" s="49">
        <f t="shared" si="44"/>
        <v>46175</v>
      </c>
      <c r="CA3" s="49">
        <f t="shared" si="45"/>
        <v>46176</v>
      </c>
      <c r="CB3" s="49">
        <f t="shared" si="46"/>
        <v>46177</v>
      </c>
      <c r="CC3" s="49">
        <f t="shared" si="47"/>
        <v>46178</v>
      </c>
      <c r="CD3" s="49">
        <f t="shared" si="48"/>
        <v>46179</v>
      </c>
      <c r="CE3" s="49">
        <f t="shared" si="49"/>
        <v>46180</v>
      </c>
      <c r="CF3" s="49">
        <f t="shared" si="50"/>
        <v>46181</v>
      </c>
      <c r="CG3" s="49">
        <f t="shared" si="51"/>
        <v>46182</v>
      </c>
      <c r="CH3" s="49">
        <f t="shared" si="52"/>
        <v>46183</v>
      </c>
      <c r="CI3" s="49">
        <f t="shared" si="53"/>
        <v>46184</v>
      </c>
      <c r="CJ3" s="49">
        <f t="shared" si="54"/>
        <v>46185</v>
      </c>
      <c r="CK3" s="49">
        <f t="shared" si="55"/>
        <v>46186</v>
      </c>
      <c r="CL3" s="49">
        <f t="shared" si="56"/>
        <v>46187</v>
      </c>
      <c r="CM3" s="49">
        <f t="shared" si="57"/>
        <v>46188</v>
      </c>
      <c r="CN3" s="49">
        <f t="shared" si="58"/>
        <v>46189</v>
      </c>
      <c r="CO3" s="49">
        <f t="shared" si="59"/>
        <v>46190</v>
      </c>
      <c r="CP3" s="49">
        <f t="shared" si="60"/>
        <v>46191</v>
      </c>
      <c r="CQ3" s="49">
        <f t="shared" si="61"/>
        <v>46192</v>
      </c>
      <c r="CR3" s="49">
        <f t="shared" si="62"/>
        <v>46193</v>
      </c>
      <c r="CS3" s="49">
        <f t="shared" si="63"/>
        <v>46194</v>
      </c>
      <c r="CT3" s="49">
        <f t="shared" si="64"/>
        <v>46195</v>
      </c>
      <c r="CU3" s="49">
        <f t="shared" si="65"/>
        <v>46196</v>
      </c>
      <c r="CV3" s="49">
        <f t="shared" si="66"/>
        <v>46197</v>
      </c>
      <c r="CW3" s="49">
        <f t="shared" si="67"/>
        <v>46198</v>
      </c>
      <c r="CX3" s="49">
        <f t="shared" si="68"/>
        <v>46199</v>
      </c>
      <c r="CY3" s="49">
        <f t="shared" si="69"/>
        <v>46200</v>
      </c>
      <c r="CZ3" s="49">
        <f t="shared" si="70"/>
        <v>46201</v>
      </c>
      <c r="DA3" s="49">
        <f t="shared" si="71"/>
        <v>46202</v>
      </c>
      <c r="DB3" s="49">
        <f t="shared" si="72"/>
        <v>46203</v>
      </c>
      <c r="DC3" s="49">
        <f t="shared" si="73"/>
        <v>46204</v>
      </c>
      <c r="DD3" s="49">
        <f t="shared" si="74"/>
        <v>46205</v>
      </c>
      <c r="DE3" s="49">
        <f t="shared" si="75"/>
        <v>46206</v>
      </c>
      <c r="DF3" s="49">
        <f t="shared" si="76"/>
        <v>46207</v>
      </c>
      <c r="DG3" s="49">
        <f t="shared" si="77"/>
        <v>46208</v>
      </c>
      <c r="DH3" s="49">
        <f t="shared" si="78"/>
        <v>46209</v>
      </c>
      <c r="DI3" s="49">
        <f t="shared" si="79"/>
        <v>46210</v>
      </c>
      <c r="DJ3" s="49">
        <f t="shared" si="80"/>
        <v>46211</v>
      </c>
      <c r="DK3" s="49">
        <f t="shared" si="81"/>
        <v>46212</v>
      </c>
      <c r="DL3" s="49">
        <f t="shared" si="82"/>
        <v>46213</v>
      </c>
      <c r="DM3" s="49">
        <f t="shared" si="83"/>
        <v>46214</v>
      </c>
      <c r="DN3" s="49">
        <f t="shared" si="84"/>
        <v>46215</v>
      </c>
      <c r="DO3" s="49">
        <f t="shared" si="85"/>
        <v>46216</v>
      </c>
      <c r="DP3" s="49">
        <f t="shared" si="86"/>
        <v>46217</v>
      </c>
      <c r="DQ3" s="49">
        <f t="shared" si="87"/>
        <v>46218</v>
      </c>
      <c r="DR3" s="49">
        <f t="shared" si="88"/>
        <v>46219</v>
      </c>
      <c r="DS3" s="49">
        <f t="shared" si="89"/>
        <v>46220</v>
      </c>
      <c r="DT3" s="49">
        <f t="shared" si="90"/>
        <v>46221</v>
      </c>
      <c r="DU3" s="49">
        <f t="shared" si="91"/>
        <v>46222</v>
      </c>
      <c r="DV3" s="49">
        <f t="shared" si="92"/>
        <v>46223</v>
      </c>
      <c r="DW3" s="49">
        <f t="shared" si="93"/>
        <v>46224</v>
      </c>
      <c r="DX3" s="49">
        <f t="shared" si="94"/>
        <v>46225</v>
      </c>
      <c r="DY3" s="49">
        <f t="shared" si="95"/>
        <v>46226</v>
      </c>
      <c r="DZ3" s="49">
        <f t="shared" si="96"/>
        <v>46227</v>
      </c>
      <c r="EA3" s="49">
        <f t="shared" si="97"/>
        <v>46228</v>
      </c>
      <c r="EB3" s="49">
        <f t="shared" si="98"/>
        <v>46229</v>
      </c>
    </row>
    <row r="4" spans="1:132" customFormat="1" ht="14.25" x14ac:dyDescent="0.45">
      <c r="A4" s="50"/>
      <c r="B4" s="50"/>
      <c r="C4" s="50"/>
      <c r="D4" s="50"/>
      <c r="E4" s="50"/>
      <c r="F4" s="50"/>
      <c r="G4" s="50"/>
      <c r="H4" s="41">
        <v>1</v>
      </c>
      <c r="I4" s="41">
        <v>2</v>
      </c>
      <c r="J4" s="41">
        <v>3</v>
      </c>
      <c r="K4" s="41">
        <v>4</v>
      </c>
      <c r="L4" s="41">
        <v>5</v>
      </c>
      <c r="M4" s="41">
        <v>6</v>
      </c>
      <c r="N4" s="41">
        <v>7</v>
      </c>
      <c r="O4" s="41">
        <v>8</v>
      </c>
      <c r="P4" s="41">
        <v>9</v>
      </c>
      <c r="Q4" s="41">
        <v>10</v>
      </c>
      <c r="R4" s="41">
        <v>11</v>
      </c>
      <c r="S4" s="41">
        <v>12</v>
      </c>
      <c r="T4" s="41">
        <v>13</v>
      </c>
      <c r="U4" s="41">
        <v>14</v>
      </c>
      <c r="V4" s="41">
        <v>15</v>
      </c>
      <c r="W4" s="41">
        <v>16</v>
      </c>
      <c r="X4" s="41">
        <v>17</v>
      </c>
      <c r="Y4" s="41">
        <v>18</v>
      </c>
      <c r="Z4" s="41">
        <v>19</v>
      </c>
      <c r="AA4" s="41">
        <v>20</v>
      </c>
      <c r="AB4" s="41">
        <v>21</v>
      </c>
      <c r="AC4" s="41">
        <v>22</v>
      </c>
      <c r="AD4" s="41">
        <v>23</v>
      </c>
      <c r="AE4" s="41">
        <v>24</v>
      </c>
      <c r="AF4" s="41">
        <v>25</v>
      </c>
      <c r="AG4" s="41">
        <v>26</v>
      </c>
      <c r="AH4" s="41">
        <v>27</v>
      </c>
      <c r="AI4" s="41">
        <v>28</v>
      </c>
      <c r="AJ4" s="41">
        <v>29</v>
      </c>
      <c r="AK4" s="41">
        <v>30</v>
      </c>
      <c r="AL4" s="41">
        <v>31</v>
      </c>
      <c r="AM4" s="41">
        <v>32</v>
      </c>
      <c r="AN4" s="41">
        <v>33</v>
      </c>
      <c r="AO4" s="41">
        <v>34</v>
      </c>
      <c r="AP4" s="41">
        <v>35</v>
      </c>
      <c r="AQ4" s="41">
        <v>36</v>
      </c>
      <c r="AR4" s="41">
        <v>37</v>
      </c>
      <c r="AS4" s="41">
        <v>38</v>
      </c>
      <c r="AT4" s="41">
        <v>39</v>
      </c>
      <c r="AU4" s="41">
        <v>40</v>
      </c>
      <c r="AV4" s="41">
        <v>41</v>
      </c>
      <c r="AW4" s="41">
        <v>42</v>
      </c>
      <c r="AX4" s="41">
        <v>43</v>
      </c>
      <c r="AY4" s="41">
        <v>44</v>
      </c>
      <c r="AZ4" s="41">
        <v>45</v>
      </c>
      <c r="BA4" s="41">
        <v>46</v>
      </c>
      <c r="BB4" s="41">
        <v>47</v>
      </c>
      <c r="BC4" s="41">
        <v>48</v>
      </c>
      <c r="BD4" s="41">
        <v>49</v>
      </c>
      <c r="BE4" s="41">
        <v>50</v>
      </c>
      <c r="BF4" s="41">
        <v>51</v>
      </c>
      <c r="BG4" s="41">
        <v>52</v>
      </c>
      <c r="BH4" s="41">
        <v>53</v>
      </c>
      <c r="BI4" s="41">
        <v>54</v>
      </c>
      <c r="BJ4" s="41">
        <v>55</v>
      </c>
      <c r="BK4" s="41">
        <v>56</v>
      </c>
      <c r="BL4" s="41">
        <v>57</v>
      </c>
      <c r="BM4" s="41">
        <v>58</v>
      </c>
      <c r="BN4" s="41">
        <v>59</v>
      </c>
      <c r="BO4" s="41">
        <v>60</v>
      </c>
      <c r="BP4" s="41">
        <v>61</v>
      </c>
      <c r="BQ4" s="41">
        <v>62</v>
      </c>
      <c r="BR4" s="41">
        <v>63</v>
      </c>
      <c r="BS4" s="41">
        <v>64</v>
      </c>
      <c r="BT4" s="41">
        <v>65</v>
      </c>
      <c r="BU4" s="41">
        <v>66</v>
      </c>
      <c r="BV4" s="41">
        <v>67</v>
      </c>
      <c r="BW4" s="41">
        <v>68</v>
      </c>
      <c r="BX4" s="41">
        <v>69</v>
      </c>
      <c r="BY4" s="41">
        <v>70</v>
      </c>
      <c r="BZ4" s="41">
        <v>71</v>
      </c>
      <c r="CA4" s="41">
        <v>72</v>
      </c>
      <c r="CB4" s="41">
        <v>73</v>
      </c>
      <c r="CC4" s="41">
        <v>74</v>
      </c>
      <c r="CD4" s="41">
        <v>75</v>
      </c>
      <c r="CE4" s="41">
        <v>76</v>
      </c>
      <c r="CF4" s="41">
        <v>77</v>
      </c>
      <c r="CG4" s="41">
        <v>78</v>
      </c>
      <c r="CH4" s="41">
        <v>79</v>
      </c>
      <c r="CI4" s="41">
        <v>80</v>
      </c>
      <c r="CJ4" s="41">
        <v>81</v>
      </c>
      <c r="CK4" s="41">
        <v>82</v>
      </c>
      <c r="CL4" s="41">
        <v>83</v>
      </c>
      <c r="CM4" s="41">
        <v>84</v>
      </c>
      <c r="CN4" s="41">
        <v>85</v>
      </c>
      <c r="CO4" s="41">
        <v>86</v>
      </c>
      <c r="CP4" s="41">
        <v>87</v>
      </c>
      <c r="CQ4" s="41">
        <v>88</v>
      </c>
      <c r="CR4" s="41">
        <v>89</v>
      </c>
      <c r="CS4" s="41">
        <v>90</v>
      </c>
      <c r="CT4" s="41">
        <v>91</v>
      </c>
      <c r="CU4" s="41">
        <v>92</v>
      </c>
      <c r="CV4" s="41">
        <v>93</v>
      </c>
      <c r="CW4" s="41">
        <v>94</v>
      </c>
      <c r="CX4" s="41">
        <v>95</v>
      </c>
      <c r="CY4" s="41">
        <v>96</v>
      </c>
      <c r="CZ4" s="41">
        <v>97</v>
      </c>
      <c r="DA4" s="41">
        <v>98</v>
      </c>
      <c r="DB4" s="41">
        <v>99</v>
      </c>
      <c r="DC4" s="41">
        <v>100</v>
      </c>
      <c r="DD4" s="41">
        <v>101</v>
      </c>
      <c r="DE4" s="41">
        <v>102</v>
      </c>
      <c r="DF4" s="41">
        <v>103</v>
      </c>
      <c r="DG4" s="41">
        <v>104</v>
      </c>
      <c r="DH4" s="41">
        <v>105</v>
      </c>
      <c r="DI4" s="41">
        <v>106</v>
      </c>
      <c r="DJ4" s="41">
        <v>107</v>
      </c>
      <c r="DK4" s="41">
        <v>108</v>
      </c>
      <c r="DL4" s="41">
        <v>109</v>
      </c>
      <c r="DM4" s="41">
        <v>110</v>
      </c>
      <c r="DN4" s="41">
        <v>111</v>
      </c>
      <c r="DO4" s="41">
        <v>112</v>
      </c>
      <c r="DP4" s="41">
        <v>113</v>
      </c>
      <c r="DQ4" s="41">
        <v>114</v>
      </c>
      <c r="DR4" s="41">
        <v>115</v>
      </c>
      <c r="DS4" s="41">
        <v>116</v>
      </c>
      <c r="DT4" s="41">
        <v>117</v>
      </c>
      <c r="DU4" s="41">
        <v>118</v>
      </c>
      <c r="DV4" s="41">
        <v>119</v>
      </c>
      <c r="DW4" s="41">
        <v>120</v>
      </c>
      <c r="DX4" s="41">
        <v>121</v>
      </c>
      <c r="DY4" s="41">
        <v>122</v>
      </c>
      <c r="DZ4" s="41">
        <v>123</v>
      </c>
      <c r="EA4" s="41">
        <v>124</v>
      </c>
      <c r="EB4" s="41">
        <v>125</v>
      </c>
    </row>
    <row r="5" spans="1:132" customFormat="1" ht="14.25" x14ac:dyDescent="0.45">
      <c r="A5" s="50"/>
      <c r="B5" s="50"/>
      <c r="C5" s="50"/>
      <c r="D5" s="50"/>
      <c r="E5" s="50"/>
      <c r="F5" s="50"/>
      <c r="G5" s="50"/>
      <c r="H5" s="63" t="s">
        <v>34</v>
      </c>
      <c r="I5" s="63"/>
      <c r="J5" s="63"/>
      <c r="K5" s="63"/>
      <c r="L5" s="63"/>
      <c r="M5" s="63"/>
      <c r="N5" s="63" t="s">
        <v>35</v>
      </c>
      <c r="O5" s="63"/>
      <c r="P5" s="63"/>
      <c r="Q5" s="63"/>
      <c r="R5" s="63"/>
      <c r="S5" s="63"/>
      <c r="T5" s="63"/>
      <c r="U5" s="63" t="s">
        <v>36</v>
      </c>
      <c r="V5" s="63"/>
      <c r="W5" s="63"/>
      <c r="X5" s="63"/>
      <c r="Y5" s="63"/>
      <c r="Z5" s="63"/>
      <c r="AA5" s="63"/>
      <c r="AB5" s="63" t="s">
        <v>37</v>
      </c>
      <c r="AC5" s="63"/>
      <c r="AD5" s="63"/>
      <c r="AE5" s="63"/>
      <c r="AF5" s="63"/>
      <c r="AG5" s="63"/>
      <c r="AH5" s="63"/>
      <c r="AI5" s="63" t="s">
        <v>38</v>
      </c>
      <c r="AJ5" s="63"/>
      <c r="AK5" s="63"/>
      <c r="AL5" s="63"/>
      <c r="AM5" s="63"/>
      <c r="AN5" s="63"/>
      <c r="AO5" s="63"/>
      <c r="AP5" s="63" t="s">
        <v>39</v>
      </c>
      <c r="AQ5" s="63"/>
      <c r="AR5" s="63"/>
      <c r="AS5" s="63"/>
      <c r="AT5" s="63"/>
      <c r="AU5" s="63"/>
      <c r="AV5" s="63"/>
      <c r="AW5" s="63" t="s">
        <v>40</v>
      </c>
      <c r="AX5" s="63"/>
      <c r="AY5" s="63"/>
      <c r="AZ5" s="63"/>
      <c r="BA5" s="63"/>
      <c r="BB5" s="63"/>
      <c r="BC5" s="63"/>
      <c r="BD5" s="63" t="s">
        <v>41</v>
      </c>
      <c r="BE5" s="63"/>
      <c r="BF5" s="63"/>
      <c r="BG5" s="63"/>
      <c r="BH5" s="63"/>
      <c r="BI5" s="63"/>
      <c r="BJ5" s="63"/>
      <c r="BK5" s="63" t="s">
        <v>42</v>
      </c>
      <c r="BL5" s="63"/>
      <c r="BM5" s="63"/>
      <c r="BN5" s="63"/>
      <c r="BO5" s="63"/>
      <c r="BP5" s="63"/>
      <c r="BQ5" s="63"/>
      <c r="BR5" s="63" t="s">
        <v>43</v>
      </c>
      <c r="BS5" s="63"/>
      <c r="BT5" s="63"/>
      <c r="BU5" s="63"/>
      <c r="BV5" s="63"/>
      <c r="BW5" s="63"/>
      <c r="BX5" s="63"/>
      <c r="BY5" s="63" t="s">
        <v>44</v>
      </c>
      <c r="BZ5" s="63"/>
      <c r="CA5" s="63"/>
      <c r="CB5" s="63"/>
      <c r="CC5" s="63"/>
      <c r="CD5" s="63"/>
      <c r="CE5" s="63"/>
      <c r="CF5" s="63" t="s">
        <v>45</v>
      </c>
      <c r="CG5" s="63"/>
      <c r="CH5" s="63"/>
      <c r="CI5" s="63"/>
      <c r="CJ5" s="63"/>
      <c r="CK5" s="63"/>
      <c r="CL5" s="63"/>
      <c r="CM5" s="63" t="s">
        <v>46</v>
      </c>
      <c r="CN5" s="63"/>
      <c r="CO5" s="63"/>
      <c r="CP5" s="63"/>
      <c r="CQ5" s="63"/>
      <c r="CR5" s="63"/>
      <c r="CS5" s="63"/>
      <c r="CT5" s="63" t="s">
        <v>139</v>
      </c>
      <c r="CU5" s="63"/>
      <c r="CV5" s="63"/>
      <c r="CW5" s="63"/>
      <c r="CX5" s="63"/>
      <c r="CY5" s="63"/>
      <c r="CZ5" s="63"/>
      <c r="DA5" s="63" t="s">
        <v>156</v>
      </c>
      <c r="DB5" s="63"/>
      <c r="DC5" s="63"/>
      <c r="DD5" s="63"/>
      <c r="DE5" s="63"/>
      <c r="DF5" s="63"/>
      <c r="DG5" s="63"/>
      <c r="DH5" s="63" t="s">
        <v>157</v>
      </c>
      <c r="DI5" s="63"/>
      <c r="DJ5" s="63"/>
      <c r="DK5" s="63"/>
      <c r="DL5" s="63"/>
      <c r="DM5" s="63"/>
      <c r="DN5" s="63"/>
      <c r="DO5" s="63" t="s">
        <v>158</v>
      </c>
      <c r="DP5" s="63"/>
      <c r="DQ5" s="63"/>
      <c r="DR5" s="63"/>
      <c r="DS5" s="63"/>
      <c r="DT5" s="63"/>
      <c r="DU5" s="63"/>
      <c r="DV5" s="63" t="s">
        <v>159</v>
      </c>
      <c r="DW5" s="63"/>
      <c r="DX5" s="63"/>
      <c r="DY5" s="63"/>
      <c r="DZ5" s="63"/>
      <c r="EA5" s="63"/>
      <c r="EB5" s="63"/>
    </row>
    <row r="6" spans="1:132" x14ac:dyDescent="0.4">
      <c r="A6" s="60" t="s">
        <v>152</v>
      </c>
      <c r="B6" s="60"/>
      <c r="C6" s="51"/>
      <c r="D6" s="51"/>
      <c r="E6" s="51"/>
      <c r="F6" s="51"/>
      <c r="G6" s="51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</row>
    <row r="7" spans="1:132" x14ac:dyDescent="0.4">
      <c r="A7" s="29" t="s">
        <v>6</v>
      </c>
      <c r="B7" s="9" t="s">
        <v>122</v>
      </c>
      <c r="C7" s="10"/>
      <c r="D7" s="16" t="s">
        <v>52</v>
      </c>
      <c r="E7" s="11">
        <v>46073</v>
      </c>
      <c r="F7" s="11">
        <v>46073</v>
      </c>
      <c r="G7" s="11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4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4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4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4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4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</row>
    <row r="8" spans="1:132" x14ac:dyDescent="0.4">
      <c r="A8" s="29" t="s">
        <v>7</v>
      </c>
      <c r="B8" s="9" t="s">
        <v>47</v>
      </c>
      <c r="C8" s="10"/>
      <c r="D8" s="16" t="s">
        <v>52</v>
      </c>
      <c r="E8" s="11">
        <v>46087</v>
      </c>
      <c r="F8" s="11">
        <v>46087</v>
      </c>
      <c r="G8" s="11"/>
      <c r="H8" s="12"/>
      <c r="I8" s="13"/>
      <c r="J8" s="12"/>
      <c r="K8" s="12"/>
      <c r="L8" s="12"/>
      <c r="M8" s="12"/>
      <c r="N8" s="12"/>
      <c r="O8" s="12"/>
      <c r="P8" s="12"/>
      <c r="Q8" s="12"/>
      <c r="R8" s="12"/>
      <c r="S8" s="14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4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4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4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4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</row>
    <row r="9" spans="1:132" x14ac:dyDescent="0.4">
      <c r="A9" s="29" t="s">
        <v>8</v>
      </c>
      <c r="B9" s="9" t="s">
        <v>48</v>
      </c>
      <c r="C9" s="10"/>
      <c r="D9" s="16" t="s">
        <v>52</v>
      </c>
      <c r="E9" s="11">
        <v>46087</v>
      </c>
      <c r="F9" s="11">
        <v>46087</v>
      </c>
      <c r="G9" s="11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4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4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4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4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4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</row>
    <row r="10" spans="1:132" x14ac:dyDescent="0.4">
      <c r="A10" s="29" t="s">
        <v>9</v>
      </c>
      <c r="B10" s="9" t="s">
        <v>49</v>
      </c>
      <c r="C10" s="10"/>
      <c r="D10" s="16" t="s">
        <v>164</v>
      </c>
      <c r="E10" s="11">
        <v>46087</v>
      </c>
      <c r="F10" s="11">
        <v>46105</v>
      </c>
      <c r="G10" s="11"/>
      <c r="H10" s="12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14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4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4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4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4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</row>
    <row r="11" spans="1:132" x14ac:dyDescent="0.4">
      <c r="A11" s="29" t="s">
        <v>53</v>
      </c>
      <c r="B11" s="9" t="s">
        <v>50</v>
      </c>
      <c r="C11" s="10"/>
      <c r="D11" s="16" t="s">
        <v>164</v>
      </c>
      <c r="E11" s="11">
        <v>46087</v>
      </c>
      <c r="F11" s="11">
        <v>46105</v>
      </c>
      <c r="G11" s="11"/>
      <c r="H11" s="12"/>
      <c r="I11" s="13"/>
      <c r="J11" s="12"/>
      <c r="K11" s="12"/>
      <c r="L11" s="12"/>
      <c r="M11" s="12"/>
      <c r="N11" s="12"/>
      <c r="O11" s="12"/>
      <c r="P11" s="12"/>
      <c r="Q11" s="12"/>
      <c r="R11" s="12"/>
      <c r="S11" s="14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4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4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4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4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</row>
    <row r="12" spans="1:132" x14ac:dyDescent="0.4">
      <c r="A12" s="29" t="s">
        <v>54</v>
      </c>
      <c r="B12" s="9" t="s">
        <v>51</v>
      </c>
      <c r="C12" s="27">
        <v>1</v>
      </c>
      <c r="D12" s="16" t="s">
        <v>180</v>
      </c>
      <c r="E12" s="11">
        <v>46105</v>
      </c>
      <c r="F12" s="11">
        <v>46105</v>
      </c>
      <c r="G12" s="11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4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4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4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4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4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</row>
    <row r="13" spans="1:132" x14ac:dyDescent="0.4">
      <c r="A13" s="60" t="s">
        <v>137</v>
      </c>
      <c r="B13" s="60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</row>
    <row r="14" spans="1:132" x14ac:dyDescent="0.4">
      <c r="A14" s="29" t="s">
        <v>11</v>
      </c>
      <c r="B14" s="15" t="s">
        <v>78</v>
      </c>
      <c r="C14" s="10"/>
      <c r="D14" s="16" t="s">
        <v>181</v>
      </c>
      <c r="E14" s="11">
        <v>46108</v>
      </c>
      <c r="F14" s="11">
        <v>46108</v>
      </c>
      <c r="G14" s="17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4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4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4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4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4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</row>
    <row r="15" spans="1:132" ht="76.25" customHeight="1" x14ac:dyDescent="0.4">
      <c r="A15" s="29" t="s">
        <v>12</v>
      </c>
      <c r="B15" s="15" t="s">
        <v>188</v>
      </c>
      <c r="C15" s="10"/>
      <c r="D15" s="16" t="s">
        <v>174</v>
      </c>
      <c r="E15" s="11">
        <v>46111</v>
      </c>
      <c r="F15" s="11">
        <v>46111</v>
      </c>
      <c r="G15" s="17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4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4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4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4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4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</row>
    <row r="16" spans="1:132" ht="140.65" x14ac:dyDescent="0.4">
      <c r="A16" s="29" t="s">
        <v>13</v>
      </c>
      <c r="B16" s="15" t="s">
        <v>222</v>
      </c>
      <c r="C16" s="10"/>
      <c r="D16" s="16" t="s">
        <v>182</v>
      </c>
      <c r="E16" s="11">
        <v>46112</v>
      </c>
      <c r="F16" s="11" t="s">
        <v>135</v>
      </c>
      <c r="G16" s="17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4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4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4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4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4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</row>
    <row r="17" spans="1:132" ht="25.9" x14ac:dyDescent="0.4">
      <c r="A17" s="29" t="s">
        <v>143</v>
      </c>
      <c r="B17" s="15" t="s">
        <v>123</v>
      </c>
      <c r="C17" s="10"/>
      <c r="D17" s="16" t="s">
        <v>174</v>
      </c>
      <c r="E17" s="11">
        <v>46118</v>
      </c>
      <c r="F17" s="11">
        <v>46120</v>
      </c>
      <c r="G17" s="1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4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4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4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4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4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</row>
    <row r="18" spans="1:132" ht="63.75" x14ac:dyDescent="0.4">
      <c r="A18" s="29" t="s">
        <v>14</v>
      </c>
      <c r="B18" s="20" t="s">
        <v>226</v>
      </c>
      <c r="C18" s="18"/>
      <c r="D18" s="16" t="s">
        <v>174</v>
      </c>
      <c r="E18" s="11">
        <v>46118</v>
      </c>
      <c r="F18" s="11">
        <v>46120</v>
      </c>
      <c r="G18" s="17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4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4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4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4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4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</row>
    <row r="19" spans="1:132" x14ac:dyDescent="0.4">
      <c r="A19" s="29" t="s">
        <v>15</v>
      </c>
      <c r="B19" s="15" t="s">
        <v>136</v>
      </c>
      <c r="C19" s="18"/>
      <c r="D19" s="16" t="s">
        <v>174</v>
      </c>
      <c r="E19" s="11">
        <v>46120</v>
      </c>
      <c r="F19" s="11">
        <v>46120</v>
      </c>
      <c r="G19" s="17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4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4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4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4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4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</row>
    <row r="20" spans="1:132" ht="110.75" customHeight="1" x14ac:dyDescent="0.4">
      <c r="A20" s="29" t="s">
        <v>29</v>
      </c>
      <c r="B20" s="21" t="s">
        <v>72</v>
      </c>
      <c r="C20" s="18"/>
      <c r="D20" s="16" t="s">
        <v>181</v>
      </c>
      <c r="E20" s="11">
        <v>46121</v>
      </c>
      <c r="F20" s="11">
        <v>46122</v>
      </c>
      <c r="G20" s="17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4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4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4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4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4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</row>
    <row r="21" spans="1:132" x14ac:dyDescent="0.4">
      <c r="A21" s="60" t="s">
        <v>94</v>
      </c>
      <c r="B21" s="60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</row>
    <row r="22" spans="1:132" ht="117" customHeight="1" x14ac:dyDescent="0.4">
      <c r="A22" s="29" t="s">
        <v>16</v>
      </c>
      <c r="B22" s="22" t="s">
        <v>98</v>
      </c>
      <c r="C22" s="10"/>
      <c r="D22" s="16" t="s">
        <v>181</v>
      </c>
      <c r="E22" s="11">
        <v>46125</v>
      </c>
      <c r="F22" s="11">
        <v>46129</v>
      </c>
      <c r="G22" s="17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4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4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4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4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4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</row>
    <row r="23" spans="1:132" ht="29" customHeight="1" x14ac:dyDescent="0.4">
      <c r="A23" s="29" t="s">
        <v>87</v>
      </c>
      <c r="B23" s="22" t="s">
        <v>184</v>
      </c>
      <c r="C23" s="10"/>
      <c r="D23" s="16" t="s">
        <v>181</v>
      </c>
      <c r="E23" s="11">
        <v>46132</v>
      </c>
      <c r="F23" s="11">
        <v>46134</v>
      </c>
      <c r="G23" s="17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4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4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4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4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4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</row>
    <row r="24" spans="1:132" ht="25.5" x14ac:dyDescent="0.4">
      <c r="A24" s="29" t="s">
        <v>88</v>
      </c>
      <c r="B24" s="22" t="s">
        <v>127</v>
      </c>
      <c r="C24" s="10"/>
      <c r="D24" s="16" t="s">
        <v>174</v>
      </c>
      <c r="E24" s="11">
        <v>46135</v>
      </c>
      <c r="F24" s="11">
        <v>46136</v>
      </c>
      <c r="G24" s="17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4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4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4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4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4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</row>
    <row r="25" spans="1:132" ht="28.25" customHeight="1" x14ac:dyDescent="0.4">
      <c r="A25" s="29" t="s">
        <v>17</v>
      </c>
      <c r="B25" s="22" t="s">
        <v>96</v>
      </c>
      <c r="C25" s="23">
        <v>2</v>
      </c>
      <c r="D25" s="16" t="s">
        <v>174</v>
      </c>
      <c r="E25" s="11">
        <v>46136</v>
      </c>
      <c r="F25" s="11">
        <v>46136</v>
      </c>
      <c r="G25" s="17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4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4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4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4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4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</row>
    <row r="26" spans="1:132" ht="29.75" customHeight="1" x14ac:dyDescent="0.4">
      <c r="A26" s="29" t="s">
        <v>89</v>
      </c>
      <c r="B26" s="22" t="s">
        <v>97</v>
      </c>
      <c r="C26" s="18"/>
      <c r="D26" s="16" t="s">
        <v>181</v>
      </c>
      <c r="E26" s="11">
        <v>46139</v>
      </c>
      <c r="F26" s="11">
        <v>46140</v>
      </c>
      <c r="G26" s="17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4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4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4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4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4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</row>
    <row r="27" spans="1:132" x14ac:dyDescent="0.4">
      <c r="A27" s="29" t="s">
        <v>18</v>
      </c>
      <c r="B27" s="22" t="s">
        <v>189</v>
      </c>
      <c r="C27" s="18"/>
      <c r="D27" s="16" t="s">
        <v>167</v>
      </c>
      <c r="E27" s="19">
        <v>46218</v>
      </c>
      <c r="F27" s="19">
        <v>46218</v>
      </c>
      <c r="G27" s="17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4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4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4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4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4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</row>
    <row r="28" spans="1:132" x14ac:dyDescent="0.4">
      <c r="A28" s="29" t="s">
        <v>126</v>
      </c>
      <c r="B28" s="22" t="s">
        <v>95</v>
      </c>
      <c r="C28" s="10"/>
      <c r="D28" s="16" t="s">
        <v>174</v>
      </c>
      <c r="E28" s="11">
        <v>46223</v>
      </c>
      <c r="F28" s="11">
        <v>46227</v>
      </c>
      <c r="G28" s="17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4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4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4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4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4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</row>
    <row r="29" spans="1:132" x14ac:dyDescent="0.4">
      <c r="A29" s="53" t="s">
        <v>99</v>
      </c>
      <c r="B29" s="54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</row>
    <row r="30" spans="1:132" x14ac:dyDescent="0.4">
      <c r="A30" s="29" t="s">
        <v>19</v>
      </c>
      <c r="B30" s="9" t="s">
        <v>79</v>
      </c>
      <c r="C30" s="24"/>
      <c r="D30" s="24" t="s">
        <v>180</v>
      </c>
      <c r="E30" s="19">
        <v>46106</v>
      </c>
      <c r="F30" s="19">
        <v>46108</v>
      </c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4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4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4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4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4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</row>
    <row r="31" spans="1:132" ht="25.5" x14ac:dyDescent="0.4">
      <c r="A31" s="29" t="s">
        <v>20</v>
      </c>
      <c r="B31" s="9" t="s">
        <v>215</v>
      </c>
      <c r="C31" s="24"/>
      <c r="D31" s="24" t="s">
        <v>172</v>
      </c>
      <c r="E31" s="19">
        <v>46111</v>
      </c>
      <c r="F31" s="19">
        <v>46112</v>
      </c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4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4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4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4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4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</row>
    <row r="32" spans="1:132" x14ac:dyDescent="0.4">
      <c r="A32" s="29" t="s">
        <v>21</v>
      </c>
      <c r="B32" s="9" t="s">
        <v>93</v>
      </c>
      <c r="C32" s="24"/>
      <c r="D32" s="24" t="s">
        <v>181</v>
      </c>
      <c r="E32" s="11">
        <v>46111</v>
      </c>
      <c r="F32" s="19">
        <v>46122</v>
      </c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4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4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4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4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4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</row>
    <row r="33" spans="1:132" ht="76.5" x14ac:dyDescent="0.4">
      <c r="A33" s="29" t="s">
        <v>22</v>
      </c>
      <c r="B33" s="9" t="s">
        <v>161</v>
      </c>
      <c r="C33" s="10"/>
      <c r="D33" s="24" t="s">
        <v>174</v>
      </c>
      <c r="E33" s="19">
        <v>46125</v>
      </c>
      <c r="F33" s="19">
        <v>46127</v>
      </c>
      <c r="G33" s="1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4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4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4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4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4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</row>
    <row r="34" spans="1:132" ht="38.25" x14ac:dyDescent="0.4">
      <c r="A34" s="29" t="s">
        <v>23</v>
      </c>
      <c r="B34" s="9" t="s">
        <v>82</v>
      </c>
      <c r="C34" s="24"/>
      <c r="D34" s="24" t="s">
        <v>180</v>
      </c>
      <c r="E34" s="19">
        <v>46128</v>
      </c>
      <c r="F34" s="19">
        <v>46129</v>
      </c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4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4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4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4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4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</row>
    <row r="35" spans="1:132" ht="25.5" x14ac:dyDescent="0.4">
      <c r="A35" s="29" t="s">
        <v>24</v>
      </c>
      <c r="B35" s="9" t="s">
        <v>138</v>
      </c>
      <c r="C35" s="24"/>
      <c r="D35" s="24" t="s">
        <v>167</v>
      </c>
      <c r="E35" s="19">
        <v>46132</v>
      </c>
      <c r="F35" s="19">
        <v>46136</v>
      </c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4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4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4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4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4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</row>
    <row r="36" spans="1:132" ht="38.25" x14ac:dyDescent="0.4">
      <c r="A36" s="29" t="s">
        <v>63</v>
      </c>
      <c r="B36" s="9" t="s">
        <v>185</v>
      </c>
      <c r="C36" s="10"/>
      <c r="D36" s="16" t="s">
        <v>180</v>
      </c>
      <c r="E36" s="11">
        <v>46139</v>
      </c>
      <c r="F36" s="19" t="s">
        <v>135</v>
      </c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4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4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4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4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4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</row>
    <row r="37" spans="1:132" x14ac:dyDescent="0.4">
      <c r="A37" s="29" t="s">
        <v>64</v>
      </c>
      <c r="B37" s="9" t="s">
        <v>186</v>
      </c>
      <c r="C37" s="24"/>
      <c r="D37" s="24" t="s">
        <v>167</v>
      </c>
      <c r="E37" s="19">
        <v>46142</v>
      </c>
      <c r="F37" s="19">
        <v>46143</v>
      </c>
      <c r="G37" s="11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4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4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4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4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4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</row>
    <row r="38" spans="1:132" ht="38.25" x14ac:dyDescent="0.4">
      <c r="A38" s="29" t="s">
        <v>65</v>
      </c>
      <c r="B38" s="9" t="s">
        <v>81</v>
      </c>
      <c r="C38" s="24"/>
      <c r="D38" s="24" t="s">
        <v>174</v>
      </c>
      <c r="E38" s="19">
        <v>46146</v>
      </c>
      <c r="F38" s="19">
        <v>46150</v>
      </c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4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4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4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4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4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</row>
    <row r="39" spans="1:132" ht="25.5" x14ac:dyDescent="0.4">
      <c r="A39" s="29" t="s">
        <v>90</v>
      </c>
      <c r="B39" s="9" t="s">
        <v>80</v>
      </c>
      <c r="C39" s="24"/>
      <c r="D39" s="24" t="s">
        <v>174</v>
      </c>
      <c r="E39" s="19">
        <v>46157</v>
      </c>
      <c r="F39" s="19">
        <v>46157</v>
      </c>
      <c r="G39" s="17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4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4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4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4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4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</row>
    <row r="40" spans="1:132" x14ac:dyDescent="0.4">
      <c r="A40" s="29" t="s">
        <v>66</v>
      </c>
      <c r="B40" s="9" t="s">
        <v>55</v>
      </c>
      <c r="C40" s="10"/>
      <c r="D40" s="24" t="s">
        <v>183</v>
      </c>
      <c r="E40" s="11">
        <v>46188</v>
      </c>
      <c r="F40" s="11">
        <v>46192</v>
      </c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4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4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4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4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4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</row>
    <row r="41" spans="1:132" x14ac:dyDescent="0.4">
      <c r="A41" s="29" t="s">
        <v>67</v>
      </c>
      <c r="B41" s="9" t="s">
        <v>219</v>
      </c>
      <c r="C41" s="24"/>
      <c r="D41" s="24" t="s">
        <v>174</v>
      </c>
      <c r="E41" s="19">
        <v>46195</v>
      </c>
      <c r="F41" s="19">
        <v>46196</v>
      </c>
      <c r="G41" s="17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4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4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4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4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4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</row>
    <row r="42" spans="1:132" ht="51" x14ac:dyDescent="0.4">
      <c r="A42" s="29" t="s">
        <v>128</v>
      </c>
      <c r="B42" s="9" t="s">
        <v>220</v>
      </c>
      <c r="C42" s="24"/>
      <c r="D42" s="24" t="s">
        <v>174</v>
      </c>
      <c r="E42" s="19">
        <v>46195</v>
      </c>
      <c r="F42" s="19">
        <v>46196</v>
      </c>
      <c r="G42" s="17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4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4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4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4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4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</row>
    <row r="43" spans="1:132" ht="178.5" x14ac:dyDescent="0.4">
      <c r="A43" s="29" t="s">
        <v>132</v>
      </c>
      <c r="B43" s="9" t="s">
        <v>187</v>
      </c>
      <c r="C43" s="24"/>
      <c r="D43" s="16" t="s">
        <v>167</v>
      </c>
      <c r="E43" s="19">
        <v>46195</v>
      </c>
      <c r="F43" s="19">
        <v>46199</v>
      </c>
      <c r="G43" s="17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4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4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4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4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4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</row>
    <row r="44" spans="1:132" x14ac:dyDescent="0.4">
      <c r="A44" s="60" t="s">
        <v>100</v>
      </c>
      <c r="B44" s="60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</row>
    <row r="45" spans="1:132" ht="25.9" x14ac:dyDescent="0.4">
      <c r="A45" s="29" t="s">
        <v>25</v>
      </c>
      <c r="B45" s="55" t="s">
        <v>190</v>
      </c>
      <c r="C45" s="10"/>
      <c r="D45" s="16" t="s">
        <v>125</v>
      </c>
      <c r="E45" s="11">
        <v>45931</v>
      </c>
      <c r="F45" s="11">
        <v>45961</v>
      </c>
      <c r="G45" s="19">
        <v>45777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4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4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4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4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4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</row>
    <row r="46" spans="1:132" x14ac:dyDescent="0.4">
      <c r="A46" s="29" t="s">
        <v>26</v>
      </c>
      <c r="B46" s="9" t="s">
        <v>73</v>
      </c>
      <c r="C46" s="10"/>
      <c r="D46" s="16" t="s">
        <v>178</v>
      </c>
      <c r="E46" s="11">
        <v>45957</v>
      </c>
      <c r="F46" s="11">
        <v>45961</v>
      </c>
      <c r="G46" s="19">
        <v>45777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4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4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4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4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4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</row>
    <row r="47" spans="1:132" x14ac:dyDescent="0.4">
      <c r="A47" s="29" t="s">
        <v>27</v>
      </c>
      <c r="B47" s="9" t="s">
        <v>153</v>
      </c>
      <c r="C47" s="10"/>
      <c r="D47" s="16" t="s">
        <v>125</v>
      </c>
      <c r="E47" s="19">
        <v>46106</v>
      </c>
      <c r="F47" s="19">
        <v>46108</v>
      </c>
      <c r="G47" s="17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4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4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4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4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4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</row>
    <row r="48" spans="1:132" x14ac:dyDescent="0.4">
      <c r="A48" s="29" t="s">
        <v>28</v>
      </c>
      <c r="B48" s="9" t="s">
        <v>221</v>
      </c>
      <c r="C48" s="10"/>
      <c r="D48" s="16" t="s">
        <v>125</v>
      </c>
      <c r="E48" s="19">
        <v>46108</v>
      </c>
      <c r="F48" s="19">
        <v>46108</v>
      </c>
      <c r="G48" s="17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4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4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4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4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4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</row>
    <row r="49" spans="1:132" x14ac:dyDescent="0.4">
      <c r="A49" s="29" t="s">
        <v>91</v>
      </c>
      <c r="B49" s="9" t="s">
        <v>217</v>
      </c>
      <c r="C49" s="10"/>
      <c r="D49" s="16" t="s">
        <v>125</v>
      </c>
      <c r="E49" s="11">
        <v>46111</v>
      </c>
      <c r="F49" s="19">
        <v>46122</v>
      </c>
      <c r="G49" s="17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4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4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4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4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4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</row>
    <row r="50" spans="1:132" x14ac:dyDescent="0.4">
      <c r="A50" s="29" t="s">
        <v>101</v>
      </c>
      <c r="B50" s="9" t="s">
        <v>154</v>
      </c>
      <c r="C50" s="10"/>
      <c r="D50" s="16" t="s">
        <v>125</v>
      </c>
      <c r="E50" s="19">
        <v>46125</v>
      </c>
      <c r="F50" s="19">
        <v>46153</v>
      </c>
      <c r="G50" s="17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4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4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4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4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4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</row>
    <row r="51" spans="1:132" x14ac:dyDescent="0.4">
      <c r="A51" s="29" t="s">
        <v>102</v>
      </c>
      <c r="B51" s="9" t="s">
        <v>155</v>
      </c>
      <c r="C51" s="10"/>
      <c r="D51" s="16" t="s">
        <v>125</v>
      </c>
      <c r="E51" s="19">
        <v>46154</v>
      </c>
      <c r="F51" s="19">
        <v>46157</v>
      </c>
      <c r="G51" s="17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4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4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4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4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4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</row>
    <row r="52" spans="1:132" ht="32" customHeight="1" x14ac:dyDescent="0.4">
      <c r="A52" s="29" t="s">
        <v>103</v>
      </c>
      <c r="B52" s="9" t="s">
        <v>149</v>
      </c>
      <c r="C52" s="10"/>
      <c r="D52" s="25" t="s">
        <v>174</v>
      </c>
      <c r="E52" s="19">
        <v>46160</v>
      </c>
      <c r="F52" s="19">
        <v>46160</v>
      </c>
      <c r="G52" s="17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4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4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4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4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4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</row>
    <row r="53" spans="1:132" x14ac:dyDescent="0.4">
      <c r="A53" s="29" t="s">
        <v>104</v>
      </c>
      <c r="B53" s="9" t="s">
        <v>191</v>
      </c>
      <c r="C53" s="23">
        <v>3</v>
      </c>
      <c r="D53" s="16" t="s">
        <v>125</v>
      </c>
      <c r="E53" s="11">
        <v>46188</v>
      </c>
      <c r="F53" s="11">
        <v>46192</v>
      </c>
      <c r="G53" s="17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4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4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4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4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4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</row>
    <row r="54" spans="1:132" x14ac:dyDescent="0.4">
      <c r="A54" s="29" t="s">
        <v>105</v>
      </c>
      <c r="B54" s="15" t="s">
        <v>57</v>
      </c>
      <c r="C54" s="10"/>
      <c r="D54" s="16" t="s">
        <v>174</v>
      </c>
      <c r="E54" s="11">
        <v>46195</v>
      </c>
      <c r="F54" s="19">
        <v>46196</v>
      </c>
      <c r="G54" s="17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4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4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4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4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4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</row>
    <row r="55" spans="1:132" x14ac:dyDescent="0.4">
      <c r="A55" s="29" t="s">
        <v>106</v>
      </c>
      <c r="B55" s="26" t="s">
        <v>56</v>
      </c>
      <c r="C55" s="10"/>
      <c r="D55" s="16" t="s">
        <v>174</v>
      </c>
      <c r="E55" s="19">
        <v>46196</v>
      </c>
      <c r="F55" s="19">
        <v>46196</v>
      </c>
      <c r="G55" s="17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4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4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4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4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4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</row>
    <row r="56" spans="1:132" ht="25.5" x14ac:dyDescent="0.4">
      <c r="A56" s="29" t="s">
        <v>107</v>
      </c>
      <c r="B56" s="26" t="s">
        <v>208</v>
      </c>
      <c r="C56" s="27">
        <v>4</v>
      </c>
      <c r="D56" s="16" t="s">
        <v>174</v>
      </c>
      <c r="E56" s="11">
        <v>46197</v>
      </c>
      <c r="F56" s="11">
        <v>46197</v>
      </c>
      <c r="G56" s="17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4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4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4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4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4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</row>
    <row r="57" spans="1:132" ht="17" customHeight="1" x14ac:dyDescent="0.4">
      <c r="A57" s="29" t="s">
        <v>108</v>
      </c>
      <c r="B57" s="9" t="s">
        <v>192</v>
      </c>
      <c r="C57" s="10"/>
      <c r="D57" s="16" t="s">
        <v>174</v>
      </c>
      <c r="E57" s="11">
        <v>46198</v>
      </c>
      <c r="F57" s="11">
        <v>46199</v>
      </c>
      <c r="G57" s="17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4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4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4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4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4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</row>
    <row r="58" spans="1:132" ht="38.25" x14ac:dyDescent="0.4">
      <c r="A58" s="29" t="s">
        <v>129</v>
      </c>
      <c r="B58" s="9" t="s">
        <v>74</v>
      </c>
      <c r="C58" s="10"/>
      <c r="D58" s="16" t="s">
        <v>179</v>
      </c>
      <c r="E58" s="11">
        <v>46198</v>
      </c>
      <c r="F58" s="19">
        <v>46213</v>
      </c>
      <c r="G58" s="17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4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4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4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4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4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</row>
    <row r="59" spans="1:132" x14ac:dyDescent="0.4">
      <c r="A59" s="60" t="s">
        <v>109</v>
      </c>
      <c r="B59" s="60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</row>
    <row r="60" spans="1:132" ht="25.9" x14ac:dyDescent="0.4">
      <c r="A60" s="29" t="s">
        <v>30</v>
      </c>
      <c r="B60" s="30" t="s">
        <v>223</v>
      </c>
      <c r="C60" s="28"/>
      <c r="D60" s="16" t="s">
        <v>125</v>
      </c>
      <c r="E60" s="11">
        <v>46111</v>
      </c>
      <c r="F60" s="19">
        <v>46115</v>
      </c>
      <c r="G60" s="19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4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4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4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4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4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</row>
    <row r="61" spans="1:132" x14ac:dyDescent="0.4">
      <c r="A61" s="29" t="s">
        <v>31</v>
      </c>
      <c r="B61" s="30" t="s">
        <v>140</v>
      </c>
      <c r="C61" s="28"/>
      <c r="D61" s="16" t="s">
        <v>125</v>
      </c>
      <c r="E61" s="19">
        <v>46115</v>
      </c>
      <c r="F61" s="19">
        <v>46115</v>
      </c>
      <c r="G61" s="11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4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4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4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4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4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</row>
    <row r="62" spans="1:132" ht="182.65" customHeight="1" x14ac:dyDescent="0.4">
      <c r="A62" s="29" t="s">
        <v>32</v>
      </c>
      <c r="B62" s="15" t="s">
        <v>130</v>
      </c>
      <c r="C62" s="10"/>
      <c r="D62" s="16" t="s">
        <v>174</v>
      </c>
      <c r="E62" s="11">
        <v>46118</v>
      </c>
      <c r="F62" s="19">
        <v>46122</v>
      </c>
      <c r="G62" s="17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4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4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4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4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4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</row>
    <row r="63" spans="1:132" ht="25.9" x14ac:dyDescent="0.4">
      <c r="A63" s="29" t="s">
        <v>33</v>
      </c>
      <c r="B63" s="30" t="s">
        <v>224</v>
      </c>
      <c r="C63" s="28"/>
      <c r="D63" s="16" t="s">
        <v>174</v>
      </c>
      <c r="E63" s="11">
        <v>46121</v>
      </c>
      <c r="F63" s="19">
        <v>46122</v>
      </c>
      <c r="G63" s="17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4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4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4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4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4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</row>
    <row r="64" spans="1:132" ht="25.9" x14ac:dyDescent="0.4">
      <c r="A64" s="29" t="s">
        <v>92</v>
      </c>
      <c r="B64" s="30" t="s">
        <v>131</v>
      </c>
      <c r="C64" s="27">
        <v>5</v>
      </c>
      <c r="D64" s="16" t="s">
        <v>166</v>
      </c>
      <c r="E64" s="19">
        <v>46122</v>
      </c>
      <c r="F64" s="19">
        <v>46122</v>
      </c>
      <c r="G64" s="17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4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4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4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4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4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</row>
    <row r="65" spans="1:132" x14ac:dyDescent="0.4">
      <c r="A65" s="60" t="s">
        <v>110</v>
      </c>
      <c r="B65" s="60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</row>
    <row r="66" spans="1:132" ht="25.9" x14ac:dyDescent="0.4">
      <c r="A66" s="29" t="s">
        <v>111</v>
      </c>
      <c r="B66" s="30" t="s">
        <v>160</v>
      </c>
      <c r="C66" s="10"/>
      <c r="D66" s="16" t="s">
        <v>209</v>
      </c>
      <c r="E66" s="11">
        <v>46111</v>
      </c>
      <c r="F66" s="19">
        <v>46115</v>
      </c>
      <c r="G66" s="17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4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4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4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4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4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</row>
    <row r="67" spans="1:132" ht="38.65" x14ac:dyDescent="0.4">
      <c r="A67" s="29" t="s">
        <v>112</v>
      </c>
      <c r="B67" s="30" t="s">
        <v>225</v>
      </c>
      <c r="C67" s="10"/>
      <c r="D67" s="16" t="s">
        <v>164</v>
      </c>
      <c r="E67" s="11">
        <v>46118</v>
      </c>
      <c r="F67" s="19">
        <v>46122</v>
      </c>
      <c r="G67" s="17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4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4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4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4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4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</row>
    <row r="68" spans="1:132" x14ac:dyDescent="0.4">
      <c r="A68" s="29" t="s">
        <v>113</v>
      </c>
      <c r="B68" s="30" t="s">
        <v>83</v>
      </c>
      <c r="C68" s="28"/>
      <c r="D68" s="16" t="s">
        <v>209</v>
      </c>
      <c r="E68" s="11">
        <v>46125</v>
      </c>
      <c r="F68" s="19">
        <v>46126</v>
      </c>
      <c r="G68" s="17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4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4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4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4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4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</row>
    <row r="69" spans="1:132" ht="25.9" x14ac:dyDescent="0.4">
      <c r="A69" s="29" t="s">
        <v>114</v>
      </c>
      <c r="B69" s="30" t="s">
        <v>197</v>
      </c>
      <c r="C69" s="28"/>
      <c r="D69" s="16" t="s">
        <v>209</v>
      </c>
      <c r="E69" s="19">
        <v>46126</v>
      </c>
      <c r="F69" s="19">
        <v>46129</v>
      </c>
      <c r="G69" s="17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4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4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4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4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4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</row>
    <row r="70" spans="1:132" ht="25.9" x14ac:dyDescent="0.4">
      <c r="A70" s="29" t="s">
        <v>115</v>
      </c>
      <c r="B70" s="30" t="s">
        <v>193</v>
      </c>
      <c r="C70" s="10"/>
      <c r="D70" s="16" t="s">
        <v>212</v>
      </c>
      <c r="E70" s="11">
        <v>46132</v>
      </c>
      <c r="F70" s="11">
        <v>46143</v>
      </c>
      <c r="G70" s="17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4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4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4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4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4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</row>
    <row r="71" spans="1:132" x14ac:dyDescent="0.4">
      <c r="A71" s="29" t="s">
        <v>116</v>
      </c>
      <c r="B71" s="30" t="s">
        <v>198</v>
      </c>
      <c r="C71" s="10"/>
      <c r="D71" s="16" t="s">
        <v>209</v>
      </c>
      <c r="E71" s="11">
        <v>46142</v>
      </c>
      <c r="F71" s="11">
        <v>46143</v>
      </c>
      <c r="G71" s="17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4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4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4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4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4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</row>
    <row r="72" spans="1:132" x14ac:dyDescent="0.4">
      <c r="A72" s="29" t="s">
        <v>117</v>
      </c>
      <c r="B72" s="30" t="s">
        <v>62</v>
      </c>
      <c r="C72" s="28"/>
      <c r="D72" s="16" t="s">
        <v>174</v>
      </c>
      <c r="E72" s="11">
        <v>46146</v>
      </c>
      <c r="F72" s="11">
        <v>46147</v>
      </c>
      <c r="G72" s="17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4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4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4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4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4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</row>
    <row r="73" spans="1:132" x14ac:dyDescent="0.4">
      <c r="A73" s="29" t="s">
        <v>133</v>
      </c>
      <c r="B73" s="30" t="s">
        <v>200</v>
      </c>
      <c r="C73" s="28"/>
      <c r="D73" s="16" t="s">
        <v>209</v>
      </c>
      <c r="E73" s="11">
        <v>46149</v>
      </c>
      <c r="F73" s="11">
        <v>46150</v>
      </c>
      <c r="G73" s="17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4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4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4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4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4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</row>
    <row r="74" spans="1:132" x14ac:dyDescent="0.4">
      <c r="A74" s="29" t="s">
        <v>196</v>
      </c>
      <c r="B74" s="30" t="s">
        <v>202</v>
      </c>
      <c r="C74" s="28"/>
      <c r="D74" s="16" t="s">
        <v>209</v>
      </c>
      <c r="E74" s="11">
        <v>46167</v>
      </c>
      <c r="F74" s="11">
        <v>46171</v>
      </c>
      <c r="G74" s="17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4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4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4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4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4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</row>
    <row r="75" spans="1:132" x14ac:dyDescent="0.4">
      <c r="A75" s="29" t="s">
        <v>199</v>
      </c>
      <c r="B75" s="30" t="s">
        <v>203</v>
      </c>
      <c r="C75" s="28"/>
      <c r="D75" s="16" t="s">
        <v>209</v>
      </c>
      <c r="E75" s="11">
        <v>46174</v>
      </c>
      <c r="F75" s="11">
        <v>46185</v>
      </c>
      <c r="G75" s="17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4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4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4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4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4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</row>
    <row r="76" spans="1:132" x14ac:dyDescent="0.4">
      <c r="A76" s="29" t="s">
        <v>201</v>
      </c>
      <c r="B76" s="30" t="s">
        <v>84</v>
      </c>
      <c r="C76" s="10"/>
      <c r="D76" s="16" t="s">
        <v>209</v>
      </c>
      <c r="E76" s="11">
        <v>46188</v>
      </c>
      <c r="F76" s="11">
        <v>46192</v>
      </c>
      <c r="G76" s="17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4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4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4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4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4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</row>
    <row r="77" spans="1:132" x14ac:dyDescent="0.4">
      <c r="A77" s="29" t="s">
        <v>204</v>
      </c>
      <c r="B77" s="30" t="s">
        <v>206</v>
      </c>
      <c r="C77" s="27">
        <v>6</v>
      </c>
      <c r="D77" s="16" t="s">
        <v>209</v>
      </c>
      <c r="E77" s="11">
        <v>46192</v>
      </c>
      <c r="F77" s="11">
        <v>46192</v>
      </c>
      <c r="G77" s="17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4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4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4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4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4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</row>
    <row r="78" spans="1:132" x14ac:dyDescent="0.4">
      <c r="A78" s="29" t="s">
        <v>205</v>
      </c>
      <c r="B78" s="30" t="s">
        <v>85</v>
      </c>
      <c r="C78" s="10"/>
      <c r="D78" s="16" t="s">
        <v>209</v>
      </c>
      <c r="E78" s="11">
        <v>46195</v>
      </c>
      <c r="F78" s="11">
        <v>46196</v>
      </c>
      <c r="G78" s="17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4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4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4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4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4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</row>
    <row r="79" spans="1:132" ht="69.5" customHeight="1" x14ac:dyDescent="0.4">
      <c r="A79" s="29" t="s">
        <v>207</v>
      </c>
      <c r="B79" s="30" t="s">
        <v>218</v>
      </c>
      <c r="C79" s="10"/>
      <c r="D79" s="16" t="s">
        <v>209</v>
      </c>
      <c r="E79" s="11">
        <v>46196</v>
      </c>
      <c r="F79" s="11">
        <v>46197</v>
      </c>
      <c r="G79" s="17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4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4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4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4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4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</row>
    <row r="80" spans="1:132" x14ac:dyDescent="0.4">
      <c r="A80" s="60" t="s">
        <v>141</v>
      </c>
      <c r="B80" s="60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</row>
    <row r="81" spans="1:132" ht="25.9" x14ac:dyDescent="0.4">
      <c r="A81" s="29" t="s">
        <v>118</v>
      </c>
      <c r="B81" s="30" t="s">
        <v>150</v>
      </c>
      <c r="C81" s="10"/>
      <c r="D81" s="16" t="s">
        <v>174</v>
      </c>
      <c r="E81" s="11">
        <v>46125</v>
      </c>
      <c r="F81" s="19">
        <v>46126</v>
      </c>
      <c r="G81" s="17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4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4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4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4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4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</row>
    <row r="82" spans="1:132" x14ac:dyDescent="0.4">
      <c r="A82" s="29" t="s">
        <v>119</v>
      </c>
      <c r="B82" s="9" t="s">
        <v>124</v>
      </c>
      <c r="C82" s="18"/>
      <c r="D82" s="16" t="s">
        <v>174</v>
      </c>
      <c r="E82" s="11">
        <v>46188</v>
      </c>
      <c r="F82" s="11">
        <v>46192</v>
      </c>
      <c r="G82" s="17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4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4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4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4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4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</row>
    <row r="83" spans="1:132" ht="76.900000000000006" x14ac:dyDescent="0.4">
      <c r="A83" s="29" t="s">
        <v>120</v>
      </c>
      <c r="B83" s="30" t="s">
        <v>142</v>
      </c>
      <c r="C83" s="10"/>
      <c r="D83" s="16" t="s">
        <v>174</v>
      </c>
      <c r="E83" s="11">
        <v>46195</v>
      </c>
      <c r="F83" s="11">
        <v>46196</v>
      </c>
      <c r="G83" s="17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4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4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4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4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4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</row>
    <row r="84" spans="1:132" x14ac:dyDescent="0.4">
      <c r="A84" s="29" t="s">
        <v>121</v>
      </c>
      <c r="B84" s="9" t="s">
        <v>58</v>
      </c>
      <c r="C84" s="10"/>
      <c r="D84" s="25" t="s">
        <v>174</v>
      </c>
      <c r="E84" s="11">
        <v>46196</v>
      </c>
      <c r="F84" s="11">
        <v>46199</v>
      </c>
      <c r="G84" s="17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4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4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4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4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4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</row>
    <row r="85" spans="1:132" x14ac:dyDescent="0.4">
      <c r="A85" s="29" t="s">
        <v>144</v>
      </c>
      <c r="B85" s="30" t="s">
        <v>134</v>
      </c>
      <c r="C85" s="10"/>
      <c r="D85" s="16" t="s">
        <v>174</v>
      </c>
      <c r="E85" s="11">
        <v>46204</v>
      </c>
      <c r="F85" s="11">
        <v>46204</v>
      </c>
      <c r="G85" s="17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4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4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4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4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4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</row>
    <row r="86" spans="1:132" x14ac:dyDescent="0.4">
      <c r="A86" s="60" t="s">
        <v>145</v>
      </c>
      <c r="B86" s="60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</row>
    <row r="87" spans="1:132" x14ac:dyDescent="0.4">
      <c r="A87" s="56" t="s">
        <v>146</v>
      </c>
      <c r="B87" s="9" t="s">
        <v>59</v>
      </c>
      <c r="C87" s="10"/>
      <c r="D87" s="16" t="s">
        <v>177</v>
      </c>
      <c r="E87" s="11">
        <v>46105</v>
      </c>
      <c r="F87" s="11">
        <v>46234</v>
      </c>
      <c r="G87" s="31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3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3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3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3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3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</row>
    <row r="88" spans="1:132" x14ac:dyDescent="0.4">
      <c r="A88" s="56" t="s">
        <v>147</v>
      </c>
      <c r="B88" s="9" t="s">
        <v>60</v>
      </c>
      <c r="C88" s="10"/>
      <c r="D88" s="16" t="s">
        <v>177</v>
      </c>
      <c r="E88" s="11">
        <v>46143</v>
      </c>
      <c r="F88" s="11">
        <v>46234</v>
      </c>
      <c r="G88" s="31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3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3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3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3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3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</row>
    <row r="89" spans="1:132" ht="17.75" customHeight="1" x14ac:dyDescent="0.4">
      <c r="A89" s="56" t="s">
        <v>148</v>
      </c>
      <c r="B89" s="9" t="s">
        <v>61</v>
      </c>
      <c r="C89" s="27">
        <v>7</v>
      </c>
      <c r="D89" s="16" t="s">
        <v>164</v>
      </c>
      <c r="E89" s="11">
        <v>46213</v>
      </c>
      <c r="F89" s="11">
        <v>46213</v>
      </c>
      <c r="G89" s="57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4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4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4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4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4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</row>
    <row r="91" spans="1:132" x14ac:dyDescent="0.4">
      <c r="B91" s="40"/>
    </row>
    <row r="92" spans="1:132" x14ac:dyDescent="0.4">
      <c r="A92" s="62" t="s">
        <v>77</v>
      </c>
      <c r="B92" s="62"/>
      <c r="C92" s="62"/>
    </row>
    <row r="93" spans="1:132" ht="25.9" x14ac:dyDescent="0.4">
      <c r="A93" s="58" t="s">
        <v>167</v>
      </c>
      <c r="B93" s="15" t="s">
        <v>168</v>
      </c>
      <c r="C93" s="18" t="s">
        <v>169</v>
      </c>
    </row>
    <row r="94" spans="1:132" ht="25.9" x14ac:dyDescent="0.4">
      <c r="A94" s="58" t="s">
        <v>172</v>
      </c>
      <c r="B94" s="15" t="s">
        <v>171</v>
      </c>
      <c r="C94" s="18" t="s">
        <v>170</v>
      </c>
    </row>
    <row r="95" spans="1:132" ht="25.9" x14ac:dyDescent="0.4">
      <c r="A95" s="58" t="s">
        <v>164</v>
      </c>
      <c r="B95" s="15" t="s">
        <v>163</v>
      </c>
      <c r="C95" s="18" t="s">
        <v>165</v>
      </c>
    </row>
    <row r="96" spans="1:132" ht="25.9" x14ac:dyDescent="0.4">
      <c r="A96" s="58" t="s">
        <v>181</v>
      </c>
      <c r="B96" s="15" t="s">
        <v>194</v>
      </c>
      <c r="C96" s="18" t="s">
        <v>195</v>
      </c>
    </row>
    <row r="97" spans="1:3" x14ac:dyDescent="0.4">
      <c r="A97" s="58" t="s">
        <v>125</v>
      </c>
      <c r="B97" s="15" t="s">
        <v>151</v>
      </c>
      <c r="C97" s="18" t="s">
        <v>176</v>
      </c>
    </row>
    <row r="98" spans="1:3" ht="25.9" x14ac:dyDescent="0.4">
      <c r="A98" s="58" t="s">
        <v>174</v>
      </c>
      <c r="B98" s="15" t="s">
        <v>173</v>
      </c>
      <c r="C98" s="18" t="s">
        <v>175</v>
      </c>
    </row>
    <row r="99" spans="1:3" ht="39" customHeight="1" x14ac:dyDescent="0.4">
      <c r="A99" s="58" t="s">
        <v>209</v>
      </c>
      <c r="B99" s="15" t="s">
        <v>211</v>
      </c>
      <c r="C99" s="18" t="s">
        <v>210</v>
      </c>
    </row>
    <row r="101" spans="1:3" x14ac:dyDescent="0.4">
      <c r="A101" s="62" t="s">
        <v>213</v>
      </c>
      <c r="B101" s="62"/>
    </row>
    <row r="102" spans="1:3" x14ac:dyDescent="0.4">
      <c r="A102" s="59" t="s">
        <v>69</v>
      </c>
      <c r="B102" s="15" t="str">
        <f>B12</f>
        <v>Contract Completion</v>
      </c>
    </row>
    <row r="103" spans="1:3" ht="25.9" x14ac:dyDescent="0.4">
      <c r="A103" s="59" t="s">
        <v>70</v>
      </c>
      <c r="B103" s="15" t="str">
        <f>B25</f>
        <v>Issue Consultation report with feedback and proposed actions, inviting further feedback</v>
      </c>
    </row>
    <row r="104" spans="1:3" x14ac:dyDescent="0.4">
      <c r="A104" s="59" t="s">
        <v>71</v>
      </c>
      <c r="B104" s="15" t="str">
        <f>B53</f>
        <v>TUPE Completion</v>
      </c>
    </row>
    <row r="105" spans="1:3" ht="25.9" x14ac:dyDescent="0.4">
      <c r="A105" s="59" t="s">
        <v>75</v>
      </c>
      <c r="B105" s="15" t="str">
        <f>B56</f>
        <v>Confirm complete Workforce in place for service commencement, including implementation of management</v>
      </c>
    </row>
    <row r="106" spans="1:3" ht="25.9" x14ac:dyDescent="0.4">
      <c r="A106" s="59" t="s">
        <v>76</v>
      </c>
      <c r="B106" s="15" t="str">
        <f>B64</f>
        <v>Finalise and Sign Property Lease including FM and Maintenance service agreements</v>
      </c>
    </row>
    <row r="107" spans="1:3" x14ac:dyDescent="0.4">
      <c r="A107" s="59" t="s">
        <v>86</v>
      </c>
      <c r="B107" s="15" t="str">
        <f>B77</f>
        <v>Sign-off and Final Assurance of records transfer</v>
      </c>
    </row>
    <row r="108" spans="1:3" x14ac:dyDescent="0.4">
      <c r="A108" s="59" t="s">
        <v>214</v>
      </c>
      <c r="B108" s="15" t="str">
        <f>B89</f>
        <v>Commissioner validate Business as usual</v>
      </c>
    </row>
  </sheetData>
  <sortState xmlns:xlrd2="http://schemas.microsoft.com/office/spreadsheetml/2017/richdata2" ref="B14:F20">
    <sortCondition ref="E14:E20"/>
    <sortCondition ref="F14:F20"/>
  </sortState>
  <mergeCells count="30">
    <mergeCell ref="DV5:EB5"/>
    <mergeCell ref="CM5:CS5"/>
    <mergeCell ref="CT5:CZ5"/>
    <mergeCell ref="DA5:DG5"/>
    <mergeCell ref="DH5:DN5"/>
    <mergeCell ref="DO5:DU5"/>
    <mergeCell ref="CF5:CL5"/>
    <mergeCell ref="H5:M5"/>
    <mergeCell ref="A2:B2"/>
    <mergeCell ref="A13:B13"/>
    <mergeCell ref="A44:B44"/>
    <mergeCell ref="AW5:BC5"/>
    <mergeCell ref="BD5:BJ5"/>
    <mergeCell ref="BK5:BQ5"/>
    <mergeCell ref="BR5:BX5"/>
    <mergeCell ref="BY5:CE5"/>
    <mergeCell ref="N5:T5"/>
    <mergeCell ref="U5:AA5"/>
    <mergeCell ref="AB5:AH5"/>
    <mergeCell ref="AI5:AO5"/>
    <mergeCell ref="AP5:AV5"/>
    <mergeCell ref="A59:B59"/>
    <mergeCell ref="A3:B3"/>
    <mergeCell ref="A6:B6"/>
    <mergeCell ref="A101:B101"/>
    <mergeCell ref="A92:C92"/>
    <mergeCell ref="A86:B86"/>
    <mergeCell ref="A65:B65"/>
    <mergeCell ref="A21:B21"/>
    <mergeCell ref="A80:B80"/>
  </mergeCells>
  <phoneticPr fontId="4" type="noConversion"/>
  <conditionalFormatting sqref="C3:G3 G15:G20 G61:G64 D81:D85 G83">
    <cfRule type="expression" dxfId="197" priority="994" stopIfTrue="1">
      <formula>#REF!="Behind Schedule"</formula>
    </cfRule>
    <cfRule type="expression" dxfId="196" priority="992" stopIfTrue="1">
      <formula>#REF!="Terminated"</formula>
    </cfRule>
    <cfRule type="expression" dxfId="195" priority="993" stopIfTrue="1">
      <formula>#REF!="At Risk"</formula>
    </cfRule>
  </conditionalFormatting>
  <conditionalFormatting sqref="C30:G36 C37:C38 D37:G43 G47:G58 D81:D85 G83 G61:G64 G15:G20 C3:G3">
    <cfRule type="expression" dxfId="194" priority="991" stopIfTrue="1">
      <formula>#REF!="Completed"</formula>
    </cfRule>
  </conditionalFormatting>
  <conditionalFormatting sqref="C30:G36 C37:C38 D37:G43 G47:G58 D85:G85">
    <cfRule type="expression" dxfId="193" priority="873" stopIfTrue="1">
      <formula>#REF!="Behind Schedule"</formula>
    </cfRule>
    <cfRule type="expression" dxfId="192" priority="872" stopIfTrue="1">
      <formula>#REF!="At Risk"</formula>
    </cfRule>
  </conditionalFormatting>
  <conditionalFormatting sqref="D22:D26 D45:D53 E49:F53">
    <cfRule type="expression" dxfId="191" priority="216" stopIfTrue="1">
      <formula>#REF!="Terminated"</formula>
    </cfRule>
    <cfRule type="expression" dxfId="190" priority="215" stopIfTrue="1">
      <formula>#REF!="Completed"</formula>
    </cfRule>
    <cfRule type="expression" dxfId="189" priority="218" stopIfTrue="1">
      <formula>#REF!="Behind Schedule"</formula>
    </cfRule>
    <cfRule type="expression" dxfId="188" priority="217" stopIfTrue="1">
      <formula>#REF!="At Risk"</formula>
    </cfRule>
  </conditionalFormatting>
  <conditionalFormatting sqref="D26:D27">
    <cfRule type="expression" dxfId="187" priority="135" stopIfTrue="1">
      <formula>#REF!="At Risk"</formula>
    </cfRule>
    <cfRule type="expression" dxfId="186" priority="136" stopIfTrue="1">
      <formula>#REF!="Behind Schedule"</formula>
    </cfRule>
  </conditionalFormatting>
  <conditionalFormatting sqref="D27">
    <cfRule type="expression" dxfId="185" priority="133" stopIfTrue="1">
      <formula>#REF!="Completed"</formula>
    </cfRule>
    <cfRule type="expression" dxfId="184" priority="134" stopIfTrue="1">
      <formula>#REF!="Terminated"</formula>
    </cfRule>
  </conditionalFormatting>
  <conditionalFormatting sqref="D28">
    <cfRule type="expression" dxfId="183" priority="223" stopIfTrue="1">
      <formula>#REF!="Completed"</formula>
    </cfRule>
    <cfRule type="expression" dxfId="182" priority="224" stopIfTrue="1">
      <formula>#REF!="Terminated"</formula>
    </cfRule>
    <cfRule type="expression" dxfId="181" priority="226" stopIfTrue="1">
      <formula>#REF!="Behind Schedule"</formula>
    </cfRule>
    <cfRule type="expression" dxfId="180" priority="225" stopIfTrue="1">
      <formula>#REF!="At Risk"</formula>
    </cfRule>
  </conditionalFormatting>
  <conditionalFormatting sqref="D83">
    <cfRule type="expression" dxfId="179" priority="307" stopIfTrue="1">
      <formula>#REF!="Completed"</formula>
    </cfRule>
    <cfRule type="expression" dxfId="178" priority="310" stopIfTrue="1">
      <formula>#REF!="Behind Schedule"</formula>
    </cfRule>
    <cfRule type="expression" dxfId="177" priority="309" stopIfTrue="1">
      <formula>#REF!="At Risk"</formula>
    </cfRule>
    <cfRule type="expression" dxfId="176" priority="308" stopIfTrue="1">
      <formula>#REF!="Terminated"</formula>
    </cfRule>
  </conditionalFormatting>
  <conditionalFormatting sqref="D15:F20">
    <cfRule type="expression" dxfId="175" priority="111" stopIfTrue="1">
      <formula>#REF!="At Risk"</formula>
    </cfRule>
    <cfRule type="expression" dxfId="174" priority="110" stopIfTrue="1">
      <formula>#REF!="Terminated"</formula>
    </cfRule>
    <cfRule type="expression" dxfId="173" priority="109" stopIfTrue="1">
      <formula>#REF!="Completed"</formula>
    </cfRule>
    <cfRule type="expression" dxfId="172" priority="112" stopIfTrue="1">
      <formula>#REF!="Behind Schedule"</formula>
    </cfRule>
  </conditionalFormatting>
  <conditionalFormatting sqref="D26:F27">
    <cfRule type="expression" dxfId="171" priority="65" stopIfTrue="1">
      <formula>#REF!="Completed"</formula>
    </cfRule>
    <cfRule type="expression" dxfId="170" priority="66" stopIfTrue="1">
      <formula>#REF!="Terminated"</formula>
    </cfRule>
  </conditionalFormatting>
  <conditionalFormatting sqref="D27:F27">
    <cfRule type="expression" dxfId="169" priority="128" stopIfTrue="1">
      <formula>#REF!="Behind Schedule"</formula>
    </cfRule>
    <cfRule type="expression" dxfId="168" priority="123" stopIfTrue="1">
      <formula>#REF!="At Risk"</formula>
    </cfRule>
  </conditionalFormatting>
  <conditionalFormatting sqref="D28:F28">
    <cfRule type="expression" dxfId="167" priority="200" stopIfTrue="1">
      <formula>#REF!="At Risk"</formula>
    </cfRule>
    <cfRule type="expression" dxfId="166" priority="199" stopIfTrue="1">
      <formula>#REF!="Terminated"</formula>
    </cfRule>
    <cfRule type="expression" dxfId="165" priority="198" stopIfTrue="1">
      <formula>#REF!="Completed"</formula>
    </cfRule>
    <cfRule type="expression" dxfId="164" priority="201" stopIfTrue="1">
      <formula>#REF!="Behind Schedule"</formula>
    </cfRule>
  </conditionalFormatting>
  <conditionalFormatting sqref="D54:F58">
    <cfRule type="expression" dxfId="163" priority="57" stopIfTrue="1">
      <formula>#REF!="Completed"</formula>
    </cfRule>
    <cfRule type="expression" dxfId="162" priority="58" stopIfTrue="1">
      <formula>#REF!="Terminated"</formula>
    </cfRule>
    <cfRule type="expression" dxfId="161" priority="59" stopIfTrue="1">
      <formula>#REF!="At Risk"</formula>
    </cfRule>
    <cfRule type="expression" dxfId="160" priority="60" stopIfTrue="1">
      <formula>#REF!="Behind Schedule"</formula>
    </cfRule>
  </conditionalFormatting>
  <conditionalFormatting sqref="D60:F64">
    <cfRule type="expression" dxfId="159" priority="323" stopIfTrue="1">
      <formula>#REF!="Completed"</formula>
    </cfRule>
    <cfRule type="expression" dxfId="158" priority="324" stopIfTrue="1">
      <formula>#REF!="Terminated"</formula>
    </cfRule>
    <cfRule type="expression" dxfId="157" priority="325" stopIfTrue="1">
      <formula>#REF!="At Risk"</formula>
    </cfRule>
    <cfRule type="expression" dxfId="156" priority="326" stopIfTrue="1">
      <formula>#REF!="Behind Schedule"</formula>
    </cfRule>
  </conditionalFormatting>
  <conditionalFormatting sqref="D66:F79">
    <cfRule type="expression" dxfId="155" priority="50" stopIfTrue="1">
      <formula>#REF!="Terminated"</formula>
    </cfRule>
    <cfRule type="expression" dxfId="154" priority="52" stopIfTrue="1">
      <formula>#REF!="Behind Schedule"</formula>
    </cfRule>
    <cfRule type="expression" dxfId="153" priority="49" stopIfTrue="1">
      <formula>#REF!="Completed"</formula>
    </cfRule>
    <cfRule type="expression" dxfId="152" priority="51" stopIfTrue="1">
      <formula>#REF!="At Risk"</formula>
    </cfRule>
  </conditionalFormatting>
  <conditionalFormatting sqref="D87:F88">
    <cfRule type="expression" dxfId="151" priority="17" stopIfTrue="1">
      <formula>#REF!="Completed"</formula>
    </cfRule>
    <cfRule type="expression" dxfId="150" priority="18" stopIfTrue="1">
      <formula>#REF!="Terminated"</formula>
    </cfRule>
    <cfRule type="expression" dxfId="149" priority="19" stopIfTrue="1">
      <formula>#REF!="At Risk"</formula>
    </cfRule>
    <cfRule type="expression" dxfId="148" priority="20" stopIfTrue="1">
      <formula>#REF!="Behind Schedule"</formula>
    </cfRule>
  </conditionalFormatting>
  <conditionalFormatting sqref="D89:F89">
    <cfRule type="expression" dxfId="147" priority="8" stopIfTrue="1">
      <formula>#REF!="Behind Schedule"</formula>
    </cfRule>
    <cfRule type="expression" dxfId="146" priority="7" stopIfTrue="1">
      <formula>#REF!="At Risk"</formula>
    </cfRule>
    <cfRule type="expression" dxfId="145" priority="6" stopIfTrue="1">
      <formula>#REF!="Terminated"</formula>
    </cfRule>
    <cfRule type="expression" dxfId="144" priority="5" stopIfTrue="1">
      <formula>#REF!="Completed"</formula>
    </cfRule>
  </conditionalFormatting>
  <conditionalFormatting sqref="D7:G12">
    <cfRule type="expression" dxfId="143" priority="654" stopIfTrue="1">
      <formula>#REF!="At Risk"</formula>
    </cfRule>
    <cfRule type="expression" dxfId="142" priority="653" stopIfTrue="1">
      <formula>#REF!="Terminated"</formula>
    </cfRule>
    <cfRule type="expression" dxfId="141" priority="655" stopIfTrue="1">
      <formula>#REF!="Behind Schedule"</formula>
    </cfRule>
    <cfRule type="expression" dxfId="140" priority="652" stopIfTrue="1">
      <formula>#REF!="Completed"</formula>
    </cfRule>
  </conditionalFormatting>
  <conditionalFormatting sqref="D14:G14">
    <cfRule type="expression" dxfId="139" priority="752" stopIfTrue="1">
      <formula>#REF!="Completed"</formula>
    </cfRule>
    <cfRule type="expression" dxfId="138" priority="753" stopIfTrue="1">
      <formula>#REF!="Terminated"</formula>
    </cfRule>
    <cfRule type="expression" dxfId="137" priority="754" stopIfTrue="1">
      <formula>#REF!="At Risk"</formula>
    </cfRule>
    <cfRule type="expression" dxfId="136" priority="755" stopIfTrue="1">
      <formula>#REF!="Behind Schedule"</formula>
    </cfRule>
  </conditionalFormatting>
  <conditionalFormatting sqref="D85:G85 C30:G36 D37:G43 G47:G58 C37:C38">
    <cfRule type="expression" dxfId="135" priority="871" stopIfTrue="1">
      <formula>#REF!="Terminated"</formula>
    </cfRule>
  </conditionalFormatting>
  <conditionalFormatting sqref="D85:G85">
    <cfRule type="expression" dxfId="134" priority="870" stopIfTrue="1">
      <formula>#REF!="Completed"</formula>
    </cfRule>
  </conditionalFormatting>
  <conditionalFormatting sqref="E25">
    <cfRule type="expression" dxfId="133" priority="82" stopIfTrue="1">
      <formula>#REF!="Terminated"</formula>
    </cfRule>
    <cfRule type="expression" dxfId="132" priority="81" stopIfTrue="1">
      <formula>#REF!="Completed"</formula>
    </cfRule>
    <cfRule type="expression" dxfId="131" priority="83" stopIfTrue="1">
      <formula>#REF!="At Risk"</formula>
    </cfRule>
    <cfRule type="expression" dxfId="130" priority="84" stopIfTrue="1">
      <formula>#REF!="Behind Schedule"</formula>
    </cfRule>
  </conditionalFormatting>
  <conditionalFormatting sqref="E84">
    <cfRule type="expression" dxfId="129" priority="34" stopIfTrue="1">
      <formula>#REF!="Terminated"</formula>
    </cfRule>
    <cfRule type="expression" dxfId="128" priority="35" stopIfTrue="1">
      <formula>#REF!="At Risk"</formula>
    </cfRule>
    <cfRule type="expression" dxfId="127" priority="36" stopIfTrue="1">
      <formula>#REF!="Behind Schedule"</formula>
    </cfRule>
    <cfRule type="expression" dxfId="126" priority="33" stopIfTrue="1">
      <formula>#REF!="Completed"</formula>
    </cfRule>
  </conditionalFormatting>
  <conditionalFormatting sqref="E18:F20">
    <cfRule type="expression" dxfId="125" priority="292" stopIfTrue="1">
      <formula>#REF!="At Risk"</formula>
    </cfRule>
    <cfRule type="expression" dxfId="124" priority="293" stopIfTrue="1">
      <formula>#REF!="Behind Schedule"</formula>
    </cfRule>
    <cfRule type="expression" dxfId="123" priority="290" stopIfTrue="1">
      <formula>#REF!="Completed"</formula>
    </cfRule>
    <cfRule type="expression" dxfId="122" priority="291" stopIfTrue="1">
      <formula>#REF!="Terminated"</formula>
    </cfRule>
  </conditionalFormatting>
  <conditionalFormatting sqref="E22:F22">
    <cfRule type="expression" dxfId="121" priority="105" stopIfTrue="1">
      <formula>#REF!="Completed"</formula>
    </cfRule>
    <cfRule type="expression" dxfId="120" priority="108" stopIfTrue="1">
      <formula>#REF!="Behind Schedule"</formula>
    </cfRule>
    <cfRule type="expression" dxfId="119" priority="106" stopIfTrue="1">
      <formula>#REF!="Terminated"</formula>
    </cfRule>
    <cfRule type="expression" dxfId="118" priority="107" stopIfTrue="1">
      <formula>#REF!="At Risk"</formula>
    </cfRule>
  </conditionalFormatting>
  <conditionalFormatting sqref="E22:F23">
    <cfRule type="expression" dxfId="117" priority="97" stopIfTrue="1">
      <formula>#REF!="Completed"</formula>
    </cfRule>
    <cfRule type="expression" dxfId="116" priority="98" stopIfTrue="1">
      <formula>#REF!="Terminated"</formula>
    </cfRule>
    <cfRule type="expression" dxfId="115" priority="99" stopIfTrue="1">
      <formula>#REF!="At Risk"</formula>
    </cfRule>
    <cfRule type="expression" dxfId="114" priority="100" stopIfTrue="1">
      <formula>#REF!="Behind Schedule"</formula>
    </cfRule>
  </conditionalFormatting>
  <conditionalFormatting sqref="E23:F24">
    <cfRule type="expression" dxfId="113" priority="89" stopIfTrue="1">
      <formula>#REF!="Completed"</formula>
    </cfRule>
    <cfRule type="expression" dxfId="112" priority="90" stopIfTrue="1">
      <formula>#REF!="Terminated"</formula>
    </cfRule>
    <cfRule type="expression" dxfId="111" priority="91" stopIfTrue="1">
      <formula>#REF!="At Risk"</formula>
    </cfRule>
    <cfRule type="expression" dxfId="110" priority="92" stopIfTrue="1">
      <formula>#REF!="Behind Schedule"</formula>
    </cfRule>
  </conditionalFormatting>
  <conditionalFormatting sqref="E24:F25">
    <cfRule type="expression" dxfId="109" priority="75" stopIfTrue="1">
      <formula>#REF!="At Risk"</formula>
    </cfRule>
    <cfRule type="expression" dxfId="108" priority="74" stopIfTrue="1">
      <formula>#REF!="Terminated"</formula>
    </cfRule>
    <cfRule type="expression" dxfId="107" priority="73" stopIfTrue="1">
      <formula>#REF!="Completed"</formula>
    </cfRule>
    <cfRule type="expression" dxfId="106" priority="76" stopIfTrue="1">
      <formula>#REF!="Behind Schedule"</formula>
    </cfRule>
  </conditionalFormatting>
  <conditionalFormatting sqref="E26:F26">
    <cfRule type="expression" dxfId="105" priority="68" stopIfTrue="1">
      <formula>#REF!="Behind Schedule"</formula>
    </cfRule>
    <cfRule type="expression" dxfId="104" priority="67" stopIfTrue="1">
      <formula>#REF!="At Risk"</formula>
    </cfRule>
    <cfRule type="expression" dxfId="103" priority="64" stopIfTrue="1">
      <formula>#REF!="Behind Schedule"</formula>
    </cfRule>
    <cfRule type="expression" dxfId="102" priority="62" stopIfTrue="1">
      <formula>#REF!="Terminated"</formula>
    </cfRule>
    <cfRule type="expression" dxfId="101" priority="61" stopIfTrue="1">
      <formula>#REF!="Completed"</formula>
    </cfRule>
    <cfRule type="expression" dxfId="100" priority="63" stopIfTrue="1">
      <formula>#REF!="At Risk"</formula>
    </cfRule>
  </conditionalFormatting>
  <conditionalFormatting sqref="E27:F27">
    <cfRule type="expression" dxfId="99" priority="124" stopIfTrue="1">
      <formula>#REF!="Behind Schedule"</formula>
    </cfRule>
  </conditionalFormatting>
  <conditionalFormatting sqref="E27:F28">
    <cfRule type="expression" dxfId="98" priority="125" stopIfTrue="1">
      <formula>#REF!="Completed"</formula>
    </cfRule>
    <cfRule type="expression" dxfId="97" priority="126" stopIfTrue="1">
      <formula>#REF!="Terminated"</formula>
    </cfRule>
    <cfRule type="expression" dxfId="96" priority="127" stopIfTrue="1">
      <formula>#REF!="At Risk"</formula>
    </cfRule>
  </conditionalFormatting>
  <conditionalFormatting sqref="E28:F28">
    <cfRule type="expression" dxfId="95" priority="189" stopIfTrue="1">
      <formula>#REF!="Behind Schedule"</formula>
    </cfRule>
  </conditionalFormatting>
  <conditionalFormatting sqref="E81:F83">
    <cfRule type="expression" dxfId="94" priority="40" stopIfTrue="1">
      <formula>#REF!="Behind Schedule"</formula>
    </cfRule>
    <cfRule type="expression" dxfId="93" priority="39" stopIfTrue="1">
      <formula>#REF!="At Risk"</formula>
    </cfRule>
    <cfRule type="expression" dxfId="92" priority="38" stopIfTrue="1">
      <formula>#REF!="Terminated"</formula>
    </cfRule>
    <cfRule type="expression" dxfId="91" priority="37" stopIfTrue="1">
      <formula>#REF!="Completed"</formula>
    </cfRule>
  </conditionalFormatting>
  <conditionalFormatting sqref="E85:F85">
    <cfRule type="expression" dxfId="90" priority="295" stopIfTrue="1">
      <formula>#REF!="Completed"</formula>
    </cfRule>
    <cfRule type="expression" dxfId="89" priority="296" stopIfTrue="1">
      <formula>#REF!="Terminated"</formula>
    </cfRule>
    <cfRule type="expression" dxfId="88" priority="298" stopIfTrue="1">
      <formula>#REF!="Behind Schedule"</formula>
    </cfRule>
    <cfRule type="expression" dxfId="87" priority="297" stopIfTrue="1">
      <formula>#REF!="At Risk"</formula>
    </cfRule>
  </conditionalFormatting>
  <conditionalFormatting sqref="E89:F89">
    <cfRule type="expression" dxfId="86" priority="1" stopIfTrue="1">
      <formula>#REF!="Completed"</formula>
    </cfRule>
    <cfRule type="expression" dxfId="85" priority="2" stopIfTrue="1">
      <formula>#REF!="Terminated"</formula>
    </cfRule>
    <cfRule type="expression" dxfId="84" priority="3" stopIfTrue="1">
      <formula>#REF!="At Risk"</formula>
    </cfRule>
    <cfRule type="expression" dxfId="83" priority="4" stopIfTrue="1">
      <formula>#REF!="Behind Schedule"</formula>
    </cfRule>
  </conditionalFormatting>
  <conditionalFormatting sqref="E45:G46">
    <cfRule type="expression" dxfId="82" priority="175" stopIfTrue="1">
      <formula>#REF!="Terminated"</formula>
    </cfRule>
    <cfRule type="expression" dxfId="81" priority="176" stopIfTrue="1">
      <formula>#REF!="At Risk"</formula>
    </cfRule>
    <cfRule type="expression" dxfId="80" priority="177" stopIfTrue="1">
      <formula>#REF!="Behind Schedule"</formula>
    </cfRule>
    <cfRule type="expression" dxfId="79" priority="174" stopIfTrue="1">
      <formula>#REF!="Completed"</formula>
    </cfRule>
  </conditionalFormatting>
  <conditionalFormatting sqref="F25">
    <cfRule type="expression" dxfId="78" priority="72" stopIfTrue="1">
      <formula>#REF!="Behind Schedule"</formula>
    </cfRule>
    <cfRule type="expression" dxfId="77" priority="71" stopIfTrue="1">
      <formula>#REF!="At Risk"</formula>
    </cfRule>
    <cfRule type="expression" dxfId="76" priority="70" stopIfTrue="1">
      <formula>#REF!="Terminated"</formula>
    </cfRule>
    <cfRule type="expression" dxfId="75" priority="69" stopIfTrue="1">
      <formula>#REF!="Completed"</formula>
    </cfRule>
  </conditionalFormatting>
  <conditionalFormatting sqref="F84:F85">
    <cfRule type="expression" dxfId="74" priority="32" stopIfTrue="1">
      <formula>#REF!="Behind Schedule"</formula>
    </cfRule>
    <cfRule type="expression" dxfId="73" priority="31" stopIfTrue="1">
      <formula>#REF!="At Risk"</formula>
    </cfRule>
    <cfRule type="expression" dxfId="72" priority="30" stopIfTrue="1">
      <formula>#REF!="Terminated"</formula>
    </cfRule>
    <cfRule type="expression" dxfId="71" priority="29" stopIfTrue="1">
      <formula>#REF!="Completed"</formula>
    </cfRule>
  </conditionalFormatting>
  <conditionalFormatting sqref="F87:F88">
    <cfRule type="expression" dxfId="70" priority="9" stopIfTrue="1">
      <formula>#REF!="Completed"</formula>
    </cfRule>
    <cfRule type="expression" dxfId="69" priority="10" stopIfTrue="1">
      <formula>#REF!="Terminated"</formula>
    </cfRule>
    <cfRule type="expression" dxfId="68" priority="11" stopIfTrue="1">
      <formula>#REF!="At Risk"</formula>
    </cfRule>
    <cfRule type="expression" dxfId="67" priority="16" stopIfTrue="1">
      <formula>#REF!="Behind Schedule"</formula>
    </cfRule>
    <cfRule type="expression" dxfId="66" priority="15" stopIfTrue="1">
      <formula>#REF!="At Risk"</formula>
    </cfRule>
    <cfRule type="expression" dxfId="65" priority="14" stopIfTrue="1">
      <formula>#REF!="Terminated"</formula>
    </cfRule>
    <cfRule type="expression" dxfId="64" priority="12" stopIfTrue="1">
      <formula>#REF!="Behind Schedule"</formula>
    </cfRule>
    <cfRule type="expression" dxfId="63" priority="13" stopIfTrue="1">
      <formula>#REF!="Completed"</formula>
    </cfRule>
  </conditionalFormatting>
  <conditionalFormatting sqref="G7:G44 G47:G59">
    <cfRule type="cellIs" dxfId="62" priority="202" operator="greaterThan">
      <formula>0</formula>
    </cfRule>
  </conditionalFormatting>
  <conditionalFormatting sqref="G22:G28">
    <cfRule type="expression" dxfId="61" priority="220" stopIfTrue="1">
      <formula>#REF!="Terminated"</formula>
    </cfRule>
    <cfRule type="expression" dxfId="60" priority="222" stopIfTrue="1">
      <formula>#REF!="Behind Schedule"</formula>
    </cfRule>
    <cfRule type="expression" dxfId="59" priority="219" stopIfTrue="1">
      <formula>#REF!="Completed"</formula>
    </cfRule>
    <cfRule type="expression" dxfId="58" priority="221" stopIfTrue="1">
      <formula>#REF!="At Risk"</formula>
    </cfRule>
  </conditionalFormatting>
  <conditionalFormatting sqref="G60">
    <cfRule type="expression" dxfId="57" priority="170" stopIfTrue="1">
      <formula>#REF!="Completed"</formula>
    </cfRule>
    <cfRule type="expression" dxfId="56" priority="173" stopIfTrue="1">
      <formula>#REF!="Behind Schedule"</formula>
    </cfRule>
    <cfRule type="expression" dxfId="55" priority="172" stopIfTrue="1">
      <formula>#REF!="At Risk"</formula>
    </cfRule>
    <cfRule type="expression" dxfId="54" priority="171" stopIfTrue="1">
      <formula>#REF!="Terminated"</formula>
    </cfRule>
  </conditionalFormatting>
  <conditionalFormatting sqref="G61:G89">
    <cfRule type="cellIs" dxfId="53" priority="294" operator="greaterThan">
      <formula>0</formula>
    </cfRule>
  </conditionalFormatting>
  <conditionalFormatting sqref="G66:G79 G81:G85">
    <cfRule type="expression" dxfId="52" priority="314" stopIfTrue="1">
      <formula>#REF!="Behind Schedule"</formula>
    </cfRule>
    <cfRule type="expression" dxfId="51" priority="312" stopIfTrue="1">
      <formula>#REF!="Terminated"</formula>
    </cfRule>
    <cfRule type="expression" dxfId="50" priority="311" stopIfTrue="1">
      <formula>#REF!="Completed"</formula>
    </cfRule>
    <cfRule type="expression" dxfId="49" priority="313" stopIfTrue="1">
      <formula>#REF!="At Risk"</formula>
    </cfRule>
  </conditionalFormatting>
  <conditionalFormatting sqref="G87:G89">
    <cfRule type="expression" dxfId="48" priority="305" stopIfTrue="1">
      <formula>#REF!="At Risk"</formula>
    </cfRule>
    <cfRule type="expression" dxfId="47" priority="304" stopIfTrue="1">
      <formula>#REF!="Terminated"</formula>
    </cfRule>
    <cfRule type="expression" dxfId="46" priority="303" stopIfTrue="1">
      <formula>#REF!="Completed"</formula>
    </cfRule>
    <cfRule type="expression" dxfId="45" priority="306" stopIfTrue="1">
      <formula>#REF!="Behind Schedule"</formula>
    </cfRule>
  </conditionalFormatting>
  <conditionalFormatting sqref="H2:EB2">
    <cfRule type="cellIs" dxfId="44" priority="990" stopIfTrue="1" operator="equal">
      <formula>$G$2</formula>
    </cfRule>
    <cfRule type="cellIs" dxfId="43" priority="987" stopIfTrue="1" operator="equal">
      <formula>TODAY()</formula>
    </cfRule>
  </conditionalFormatting>
  <conditionalFormatting sqref="H2:EB3 H7:EB12 H14:EB20 H22:EB28 H30:EB43 H45:EB58 H60:EB64 H66:EB79 H83:EB83 H85:EB85 H87:EB89">
    <cfRule type="expression" dxfId="42" priority="4159">
      <formula>H$2=$B$1</formula>
    </cfRule>
  </conditionalFormatting>
  <conditionalFormatting sqref="H7:EB9">
    <cfRule type="expression" dxfId="41" priority="13165" stopIfTrue="1">
      <formula>$H65449=$B$1</formula>
    </cfRule>
  </conditionalFormatting>
  <conditionalFormatting sqref="H7:EB12 H14:EB20 H22:EB28 H30:EB43 H45:EB58 H60:EB64 H66:EB79 H83:EB83 H85:EB85 H87:EB89">
    <cfRule type="expression" dxfId="40" priority="988" stopIfTrue="1">
      <formula>WEEKDAY(H$2)=1</formula>
    </cfRule>
    <cfRule type="expression" dxfId="39" priority="989" stopIfTrue="1">
      <formula>WEEKDAY(H$2)=7</formula>
    </cfRule>
  </conditionalFormatting>
  <conditionalFormatting sqref="H10:EB10">
    <cfRule type="expression" dxfId="38" priority="12689" stopIfTrue="1">
      <formula>$H65451=$B$1</formula>
    </cfRule>
  </conditionalFormatting>
  <conditionalFormatting sqref="H11:EB12 H46:EB51">
    <cfRule type="expression" dxfId="37" priority="13147" stopIfTrue="1">
      <formula>$H65450=$B$1</formula>
    </cfRule>
  </conditionalFormatting>
  <conditionalFormatting sqref="H14:EB14 H22:EB22">
    <cfRule type="expression" dxfId="36" priority="11661" stopIfTrue="1">
      <formula>AND(H$2&gt;=$E29,H$2&lt;=$F29)</formula>
    </cfRule>
  </conditionalFormatting>
  <conditionalFormatting sqref="H14:EB16 H22:EB26 H18:EB18">
    <cfRule type="expression" dxfId="35" priority="12753" stopIfTrue="1">
      <formula>$H65479=$B$1</formula>
    </cfRule>
  </conditionalFormatting>
  <conditionalFormatting sqref="H14:EB18 H22:EB26 H20:EB20">
    <cfRule type="expression" dxfId="34" priority="12761" stopIfTrue="1">
      <formula>$H65478=$B$1</formula>
    </cfRule>
  </conditionalFormatting>
  <conditionalFormatting sqref="H14:EB20 H22:EB28 H45:EB58 H85:EB85 H2:EB3 H7:EB12 H30:EB43 H60:EB64 H66:EB79 H83:EB83 H87:EB89">
    <cfRule type="expression" dxfId="33" priority="4158">
      <formula>H$2=$G$2</formula>
    </cfRule>
  </conditionalFormatting>
  <conditionalFormatting sqref="H15:EB20 H23:EB28 H56:EB58 H85:EB85">
    <cfRule type="expression" dxfId="32" priority="3593" stopIfTrue="1">
      <formula>AND(H$2&gt;=#REF!,H$2&lt;=#REF!)</formula>
    </cfRule>
  </conditionalFormatting>
  <conditionalFormatting sqref="H17:EB17 H19:EB20 H27:EB28">
    <cfRule type="expression" dxfId="31" priority="12875" stopIfTrue="1">
      <formula>$H65480=$B$1</formula>
    </cfRule>
  </conditionalFormatting>
  <conditionalFormatting sqref="H19:EB19 H27:EB28">
    <cfRule type="expression" dxfId="30" priority="13005" stopIfTrue="1">
      <formula>$H65481=$B$1</formula>
    </cfRule>
  </conditionalFormatting>
  <conditionalFormatting sqref="H30:EB32">
    <cfRule type="expression" dxfId="29" priority="13166" stopIfTrue="1">
      <formula>$H65485=$B$1</formula>
    </cfRule>
  </conditionalFormatting>
  <conditionalFormatting sqref="H33:EB33">
    <cfRule type="expression" dxfId="28" priority="12880" stopIfTrue="1">
      <formula>$H65486=$B$1</formula>
    </cfRule>
  </conditionalFormatting>
  <conditionalFormatting sqref="H34:EB34">
    <cfRule type="expression" dxfId="27" priority="12858" stopIfTrue="1">
      <formula>$H65488=$B$1</formula>
    </cfRule>
  </conditionalFormatting>
  <conditionalFormatting sqref="H35:EB36 H39:EB39">
    <cfRule type="expression" dxfId="26" priority="12735" stopIfTrue="1">
      <formula>$H65486=$B$1</formula>
    </cfRule>
  </conditionalFormatting>
  <conditionalFormatting sqref="H37:EB38">
    <cfRule type="expression" dxfId="25" priority="13167" stopIfTrue="1">
      <formula>$H65487=$B$1</formula>
    </cfRule>
  </conditionalFormatting>
  <conditionalFormatting sqref="H40:EB42">
    <cfRule type="expression" dxfId="24" priority="13168" stopIfTrue="1">
      <formula>$H65492=$B$1</formula>
    </cfRule>
  </conditionalFormatting>
  <conditionalFormatting sqref="H43:EB43">
    <cfRule type="expression" dxfId="23" priority="12892" stopIfTrue="1">
      <formula>$H65494=$B$1</formula>
    </cfRule>
  </conditionalFormatting>
  <conditionalFormatting sqref="H45:EB45">
    <cfRule type="expression" dxfId="22" priority="12995" stopIfTrue="1">
      <formula>$H65491=$B$1</formula>
    </cfRule>
  </conditionalFormatting>
  <conditionalFormatting sqref="H52:EB52">
    <cfRule type="expression" dxfId="21" priority="13012" stopIfTrue="1">
      <formula>$H65479=$B$1</formula>
    </cfRule>
  </conditionalFormatting>
  <conditionalFormatting sqref="H53:EB53">
    <cfRule type="expression" dxfId="20" priority="13002" stopIfTrue="1">
      <formula>$H65491=$B$1</formula>
    </cfRule>
  </conditionalFormatting>
  <conditionalFormatting sqref="H54:EB54">
    <cfRule type="expression" dxfId="19" priority="12756" stopIfTrue="1">
      <formula>$H65480=$B$1</formula>
    </cfRule>
  </conditionalFormatting>
  <conditionalFormatting sqref="H55:EB55">
    <cfRule type="expression" dxfId="18" priority="12764" stopIfTrue="1">
      <formula>$H65480=$B$1</formula>
    </cfRule>
  </conditionalFormatting>
  <conditionalFormatting sqref="H56:EB56">
    <cfRule type="expression" dxfId="17" priority="12766" stopIfTrue="1">
      <formula>$H65503=$B$1</formula>
    </cfRule>
    <cfRule type="expression" dxfId="16" priority="12765" stopIfTrue="1">
      <formula>$H65504=$B$1</formula>
    </cfRule>
  </conditionalFormatting>
  <conditionalFormatting sqref="H57:EB58">
    <cfRule type="expression" dxfId="15" priority="13169" stopIfTrue="1">
      <formula>$H65497=$B$1</formula>
    </cfRule>
  </conditionalFormatting>
  <conditionalFormatting sqref="H60:EB61">
    <cfRule type="expression" dxfId="14" priority="13170" stopIfTrue="1">
      <formula>$H65482=$B$1</formula>
    </cfRule>
  </conditionalFormatting>
  <conditionalFormatting sqref="H62:EB62">
    <cfRule type="expression" dxfId="13" priority="12729" stopIfTrue="1">
      <formula>$H65483=$B$1</formula>
    </cfRule>
  </conditionalFormatting>
  <conditionalFormatting sqref="H63:EB63">
    <cfRule type="expression" dxfId="12" priority="12757" stopIfTrue="1">
      <formula>$H65483=$B$1</formula>
    </cfRule>
  </conditionalFormatting>
  <conditionalFormatting sqref="H64:EB64">
    <cfRule type="expression" dxfId="11" priority="12767" stopIfTrue="1">
      <formula>$H65483=$B$1</formula>
    </cfRule>
  </conditionalFormatting>
  <conditionalFormatting sqref="H81:EB85 H7:EB12 H14:EB20 H22:EB28 H30:EB43 H45:EB58 H60:EB64 H66:EB79 H87:EB89">
    <cfRule type="expression" dxfId="10" priority="986" stopIfTrue="1">
      <formula>AND(H$2&gt;=$E7,H$2&lt;=$F7)</formula>
    </cfRule>
  </conditionalFormatting>
  <conditionalFormatting sqref="H81:EB85">
    <cfRule type="expression" dxfId="9" priority="166" stopIfTrue="1">
      <formula>WEEKDAY(H$2)=1</formula>
    </cfRule>
    <cfRule type="expression" dxfId="8" priority="169">
      <formula>H$2=$B$1</formula>
    </cfRule>
    <cfRule type="expression" dxfId="7" priority="168">
      <formula>H$2=$G$2</formula>
    </cfRule>
    <cfRule type="expression" dxfId="6" priority="167" stopIfTrue="1">
      <formula>WEEKDAY(H$2)=7</formula>
    </cfRule>
  </conditionalFormatting>
  <conditionalFormatting sqref="H83:EB83">
    <cfRule type="expression" dxfId="5" priority="12684" stopIfTrue="1">
      <formula>$H65498=$B$1</formula>
    </cfRule>
  </conditionalFormatting>
  <conditionalFormatting sqref="H85:EB85">
    <cfRule type="expression" dxfId="4" priority="12769" stopIfTrue="1">
      <formula>$H65482=$B$1</formula>
    </cfRule>
    <cfRule type="expression" dxfId="3" priority="12768" stopIfTrue="1">
      <formula>$H65483=$B$1</formula>
    </cfRule>
  </conditionalFormatting>
  <conditionalFormatting sqref="H87:EB89">
    <cfRule type="expression" dxfId="2" priority="13025" stopIfTrue="1">
      <formula>$H65492=$B$1</formula>
    </cfRule>
  </conditionalFormatting>
  <conditionalFormatting sqref="AC11:AD11 AX11:AY11 CN11:CO11 DI11:DJ11 DW11:DX11 H57:EB58">
    <cfRule type="expression" dxfId="1" priority="13014" stopIfTrue="1">
      <formula>$H65452=$B$1</formula>
    </cfRule>
  </conditionalFormatting>
  <conditionalFormatting sqref="BS11:BT11">
    <cfRule type="expression" dxfId="0" priority="12900" stopIfTrue="1">
      <formula>$H65452=$B$1</formula>
    </cfRule>
  </conditionalFormatting>
  <pageMargins left="0.7" right="0.7" top="0.75" bottom="0.75" header="0.3" footer="0.3"/>
  <pageSetup paperSize="9" orientation="landscape" r:id="rId1"/>
  <ignoredErrors>
    <ignoredError sqref="A7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2EEF038059274EBBCFAFD5E04D9720" ma:contentTypeVersion="10" ma:contentTypeDescription="Create a new document." ma:contentTypeScope="" ma:versionID="66b0cf573f6a64b63d8eb51ce8e76b2e">
  <xsd:schema xmlns:xsd="http://www.w3.org/2001/XMLSchema" xmlns:xs="http://www.w3.org/2001/XMLSchema" xmlns:p="http://schemas.microsoft.com/office/2006/metadata/properties" xmlns:ns2="28d78861-bca1-41bf-8663-65ccf077acc8" xmlns:ns3="4128c180-d8b1-48ae-80ed-3b61ee48edd9" targetNamespace="http://schemas.microsoft.com/office/2006/metadata/properties" ma:root="true" ma:fieldsID="d8afdfe652922dc2a55aa50a2bd2d191" ns2:_="" ns3:_="">
    <xsd:import namespace="28d78861-bca1-41bf-8663-65ccf077acc8"/>
    <xsd:import namespace="4128c180-d8b1-48ae-80ed-3b61ee48ed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78861-bca1-41bf-8663-65ccf077ac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e90e3e1-a0e2-4d5e-9b9c-d2afa17246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c180-d8b1-48ae-80ed-3b61ee48ed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198df8-37cd-4b70-8a7d-363746b6c583}" ma:internalName="TaxCatchAll" ma:showField="CatchAllData" ma:web="4128c180-d8b1-48ae-80ed-3b61ee48e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TaxCatchAll xmlns="4128c180-d8b1-48ae-80ed-3b61ee48edd9" xsi:nil="true"/>
    <lcf76f155ced4ddcb4097134ff3c332f xmlns="28d78861-bca1-41bf-8663-65ccf077ac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36A7E3-671C-4474-8B93-71252EF4B6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B17A7F-43AD-430D-A70E-51280A7B77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d78861-bca1-41bf-8663-65ccf077acc8"/>
    <ds:schemaRef ds:uri="4128c180-d8b1-48ae-80ed-3b61ee48ed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788238-7BD0-4BB6-8FD5-265A8153893C}">
  <ds:schemaRefs>
    <ds:schemaRef ds:uri="96119816-abf0-4b86-9a19-ec3d187e5e8e"/>
    <ds:schemaRef ds:uri="http://purl.org/dc/elements/1.1/"/>
    <ds:schemaRef ds:uri="http://www.w3.org/XML/1998/namespace"/>
    <ds:schemaRef ds:uri="http://schemas.microsoft.com/office/2006/documentManagement/types"/>
    <ds:schemaRef ds:uri="33d11e9c-1b12-49ce-8c68-4c2cde8d542c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  <ds:schemaRef ds:uri="4128c180-d8b1-48ae-80ed-3b61ee48edd9"/>
    <ds:schemaRef ds:uri="28d78861-bca1-41bf-8663-65ccf077ac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Mobilisation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Krisja Low</cp:lastModifiedBy>
  <dcterms:created xsi:type="dcterms:W3CDTF">2013-09-30T10:08:04Z</dcterms:created>
  <dcterms:modified xsi:type="dcterms:W3CDTF">2025-11-07T16:16:02Z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0x0101002C2EEF038059274EBBCFAFD5E04D9720</vt:lpwstr>
  </property>
  <property fmtid="{D5CDD505-2E9C-101B-9397-08002B2CF9AE}" pid="3" name="FileLeafRef">
    <vt:lpwstr>RBWM 2015  Mobillisation FitzRoy.xlsx</vt:lpwstr>
  </property>
  <property fmtid="{D5CDD505-2E9C-101B-9397-08002B2CF9AE}" pid="4" name="MediaServiceImageTags">
    <vt:lpwstr/>
  </property>
</Properties>
</file>